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MITS Gwalior\Mid-Minor Seating Plan\Mid Minor jan june 2026\Minor -II April\Quiz-2\Attendance\"/>
    </mc:Choice>
  </mc:AlternateContent>
  <xr:revisionPtr revIDLastSave="0" documentId="13_ncr:1_{88E6D778-AD13-49A1-A2CC-6A9E480FEA4D}" xr6:coauthVersionLast="47" xr6:coauthVersionMax="47" xr10:uidLastSave="{00000000-0000-0000-0000-000000000000}"/>
  <bookViews>
    <workbookView xWindow="-120" yWindow="-120" windowWidth="20730" windowHeight="11040" tabRatio="952" firstSheet="1" activeTab="15" xr2:uid="{00000000-000D-0000-FFFF-FFFF00000000}"/>
  </bookViews>
  <sheets>
    <sheet name="Summary" sheetId="45" r:id="rId1"/>
    <sheet name="Seating Plan" sheetId="48" r:id="rId2"/>
    <sheet name="Lab M005" sheetId="41" r:id="rId3"/>
    <sheet name="M104" sheetId="25" r:id="rId4"/>
    <sheet name="Lab 105" sheetId="42" r:id="rId5"/>
    <sheet name="M203" sheetId="18" r:id="rId6"/>
    <sheet name="M205" sheetId="32" r:id="rId7"/>
    <sheet name="M302" sheetId="38" r:id="rId8"/>
    <sheet name="HPC lab" sheetId="24" r:id="rId9"/>
    <sheet name="Code lab" sheetId="26" r:id="rId10"/>
    <sheet name="DS-1" sheetId="30" r:id="rId11"/>
    <sheet name="Project Lab" sheetId="39" r:id="rId12"/>
    <sheet name="CC Lab" sheetId="36" r:id="rId13"/>
    <sheet name="PL-4" sheetId="35" r:id="rId14"/>
    <sheet name="PL-3" sheetId="34" r:id="rId15"/>
    <sheet name="PL-5" sheetId="33" r:id="rId16"/>
    <sheet name="PL-1" sheetId="28" r:id="rId17"/>
    <sheet name="EE-2" sheetId="22" r:id="rId18"/>
    <sheet name="EE-1" sheetId="27" r:id="rId19"/>
    <sheet name="MAC lab" sheetId="21" r:id="rId20"/>
    <sheet name="Computing IT" sheetId="29" r:id="rId21"/>
    <sheet name="PL-2" sheetId="31" r:id="rId22"/>
    <sheet name="EC lab" sheetId="23" r:id="rId23"/>
    <sheet name="Architectue Lab" sheetId="40" r:id="rId24"/>
    <sheet name="Library" sheetId="43" r:id="rId25"/>
    <sheet name="Sheet3" sheetId="47" r:id="rId26"/>
  </sheets>
  <definedNames>
    <definedName name="_xlnm.Print_Area" localSheetId="12">'CC Lab'!$A$1:$F$34</definedName>
    <definedName name="_xlnm.Print_Area" localSheetId="9">'Code lab'!$A$1:$G$48</definedName>
    <definedName name="_xlnm.Print_Area" localSheetId="10">'DS-1'!$A$1:$F$44</definedName>
    <definedName name="_xlnm.Print_Area" localSheetId="22">'EC lab'!$A$1:$G$41</definedName>
    <definedName name="_xlnm.Print_Area" localSheetId="4">'Lab 105'!$A$1:$G$57</definedName>
    <definedName name="_xlnm.Print_Area" localSheetId="3">'M104'!$A$1:$G$68</definedName>
    <definedName name="_xlnm.Print_Area" localSheetId="16">'PL-1'!$A$1:$F$38</definedName>
    <definedName name="_xlnm.Print_Area" localSheetId="21">'PL-2'!$A$1:$G$37</definedName>
    <definedName name="_xlnm.Print_Area" localSheetId="14">'PL-3'!$A$1:$F$33</definedName>
    <definedName name="_xlnm.Print_Titles" localSheetId="10">'DS-1'!$8:$8</definedName>
    <definedName name="_xlnm.Print_Titles" localSheetId="15">'PL-5'!$8:$8</definedName>
    <definedName name="_xlnm.Print_Titles" localSheetId="11">'Project Lab'!$8:$8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36" l="1"/>
  <c r="C28" i="36"/>
  <c r="D28" i="36"/>
  <c r="E28" i="36"/>
  <c r="B29" i="36"/>
  <c r="C29" i="36"/>
  <c r="D29" i="36"/>
  <c r="E29" i="36"/>
  <c r="B20" i="28"/>
  <c r="E20" i="28" s="1"/>
  <c r="B18" i="35"/>
  <c r="E18" i="35" s="1"/>
  <c r="B33" i="28"/>
  <c r="B32" i="28"/>
  <c r="B29" i="35"/>
  <c r="E29" i="35" s="1"/>
  <c r="B28" i="35"/>
  <c r="E7" i="39"/>
  <c r="F7" i="30"/>
  <c r="E7" i="35"/>
  <c r="E7" i="36"/>
  <c r="B44" i="25"/>
  <c r="E52" i="27"/>
  <c r="E53" i="27"/>
  <c r="E23" i="26"/>
  <c r="D23" i="26"/>
  <c r="C23" i="26"/>
  <c r="E47" i="26"/>
  <c r="E48" i="26"/>
  <c r="D47" i="26"/>
  <c r="D48" i="26"/>
  <c r="C62" i="32"/>
  <c r="C63" i="32"/>
  <c r="D56" i="42"/>
  <c r="D57" i="42"/>
  <c r="C56" i="42"/>
  <c r="C57" i="42"/>
  <c r="B32" i="31"/>
  <c r="B33" i="31"/>
  <c r="B34" i="31"/>
  <c r="B35" i="31"/>
  <c r="B36" i="31"/>
  <c r="B37" i="31"/>
  <c r="B31" i="31"/>
  <c r="G8" i="31"/>
  <c r="G7" i="31"/>
  <c r="G29" i="31"/>
  <c r="G28" i="31"/>
  <c r="E7" i="34"/>
  <c r="F6" i="34"/>
  <c r="F6" i="35"/>
  <c r="G8" i="29"/>
  <c r="G7" i="29"/>
  <c r="G32" i="29"/>
  <c r="G31" i="29"/>
  <c r="G9" i="21"/>
  <c r="G8" i="21"/>
  <c r="G31" i="21"/>
  <c r="G30" i="21"/>
  <c r="G8" i="27"/>
  <c r="G7" i="27"/>
  <c r="G36" i="27"/>
  <c r="G35" i="27"/>
  <c r="G27" i="22"/>
  <c r="G26" i="22"/>
  <c r="G8" i="22"/>
  <c r="G7" i="22"/>
  <c r="E7" i="28"/>
  <c r="F6" i="28"/>
  <c r="E7" i="33"/>
  <c r="F6" i="33"/>
  <c r="F6" i="36"/>
  <c r="F6" i="39"/>
  <c r="F6" i="30"/>
  <c r="G8" i="26"/>
  <c r="G7" i="26"/>
  <c r="G33" i="26"/>
  <c r="G32" i="26"/>
  <c r="G8" i="24"/>
  <c r="G7" i="24"/>
  <c r="G33" i="24"/>
  <c r="G32" i="24"/>
  <c r="G8" i="38"/>
  <c r="G7" i="38"/>
  <c r="G52" i="38"/>
  <c r="G51" i="38"/>
  <c r="G40" i="32"/>
  <c r="G39" i="32"/>
  <c r="G8" i="32"/>
  <c r="G7" i="32"/>
  <c r="G56" i="18"/>
  <c r="G55" i="18"/>
  <c r="G8" i="18"/>
  <c r="G7" i="18"/>
  <c r="G8" i="42"/>
  <c r="G7" i="42"/>
  <c r="G37" i="42"/>
  <c r="G36" i="42"/>
  <c r="G8" i="25"/>
  <c r="G7" i="25"/>
  <c r="G42" i="25"/>
  <c r="G41" i="25"/>
  <c r="G37" i="41"/>
  <c r="G36" i="41"/>
  <c r="G8" i="41"/>
  <c r="G7" i="41"/>
  <c r="B18" i="31"/>
  <c r="B11" i="31"/>
  <c r="B12" i="31"/>
  <c r="B13" i="31"/>
  <c r="B14" i="31"/>
  <c r="B15" i="31"/>
  <c r="B16" i="31"/>
  <c r="B17" i="31"/>
  <c r="B10" i="31"/>
  <c r="E10" i="31" s="1"/>
  <c r="B17" i="34"/>
  <c r="B18" i="34"/>
  <c r="B19" i="34"/>
  <c r="B20" i="34"/>
  <c r="B21" i="34"/>
  <c r="B22" i="34"/>
  <c r="B16" i="34"/>
  <c r="B10" i="34"/>
  <c r="B11" i="34"/>
  <c r="B12" i="34"/>
  <c r="B13" i="34"/>
  <c r="B14" i="34"/>
  <c r="B15" i="34"/>
  <c r="B9" i="34"/>
  <c r="B20" i="35"/>
  <c r="B21" i="35"/>
  <c r="B22" i="35"/>
  <c r="B23" i="35"/>
  <c r="B24" i="35"/>
  <c r="B25" i="35"/>
  <c r="B26" i="35"/>
  <c r="B27" i="35"/>
  <c r="B19" i="35"/>
  <c r="B10" i="35"/>
  <c r="B11" i="35"/>
  <c r="B12" i="35"/>
  <c r="B13" i="35"/>
  <c r="B14" i="35"/>
  <c r="B15" i="35"/>
  <c r="B16" i="35"/>
  <c r="B17" i="35"/>
  <c r="B9" i="35"/>
  <c r="E9" i="35" s="1"/>
  <c r="B35" i="29"/>
  <c r="B36" i="29"/>
  <c r="B37" i="29"/>
  <c r="B38" i="29"/>
  <c r="B39" i="29"/>
  <c r="B40" i="29"/>
  <c r="B41" i="29"/>
  <c r="B42" i="29"/>
  <c r="B43" i="29"/>
  <c r="B44" i="29"/>
  <c r="B34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10" i="29"/>
  <c r="D10" i="29" s="1"/>
  <c r="C7" i="29" s="1"/>
  <c r="B34" i="21"/>
  <c r="B35" i="21"/>
  <c r="B36" i="21"/>
  <c r="B37" i="21"/>
  <c r="B38" i="21"/>
  <c r="B39" i="21"/>
  <c r="B40" i="21"/>
  <c r="B41" i="21"/>
  <c r="B42" i="21"/>
  <c r="B33" i="21"/>
  <c r="B12" i="21"/>
  <c r="B13" i="21"/>
  <c r="B14" i="21"/>
  <c r="B15" i="21"/>
  <c r="B16" i="21"/>
  <c r="B17" i="21"/>
  <c r="B18" i="21"/>
  <c r="B19" i="21"/>
  <c r="B20" i="21"/>
  <c r="B11" i="21"/>
  <c r="B30" i="22"/>
  <c r="B31" i="22"/>
  <c r="B32" i="22"/>
  <c r="B33" i="22"/>
  <c r="B34" i="22"/>
  <c r="B35" i="22"/>
  <c r="B29" i="22"/>
  <c r="B11" i="22"/>
  <c r="B12" i="22"/>
  <c r="B13" i="22"/>
  <c r="B14" i="22"/>
  <c r="B15" i="22"/>
  <c r="B16" i="22"/>
  <c r="B17" i="22"/>
  <c r="B10" i="22"/>
  <c r="D10" i="22" s="1"/>
  <c r="C7" i="22" s="1"/>
  <c r="B39" i="27"/>
  <c r="B40" i="27"/>
  <c r="B41" i="27"/>
  <c r="B42" i="27"/>
  <c r="B43" i="27"/>
  <c r="B44" i="27"/>
  <c r="B45" i="27"/>
  <c r="B46" i="27"/>
  <c r="B47" i="27"/>
  <c r="B48" i="27"/>
  <c r="B49" i="27"/>
  <c r="B50" i="27"/>
  <c r="B51" i="27"/>
  <c r="B38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10" i="27"/>
  <c r="B31" i="28"/>
  <c r="B23" i="28"/>
  <c r="B24" i="28"/>
  <c r="B25" i="28"/>
  <c r="B26" i="28"/>
  <c r="B27" i="28"/>
  <c r="B28" i="28"/>
  <c r="B29" i="28"/>
  <c r="B30" i="28"/>
  <c r="B22" i="28"/>
  <c r="D22" i="28" s="1"/>
  <c r="B10" i="28"/>
  <c r="B11" i="28"/>
  <c r="B12" i="28"/>
  <c r="B13" i="28"/>
  <c r="B14" i="28"/>
  <c r="B15" i="28"/>
  <c r="B16" i="28"/>
  <c r="B17" i="28"/>
  <c r="B18" i="28"/>
  <c r="B19" i="28"/>
  <c r="B21" i="28"/>
  <c r="B9" i="28"/>
  <c r="B27" i="33"/>
  <c r="B28" i="33"/>
  <c r="C28" i="33" s="1"/>
  <c r="B29" i="33"/>
  <c r="B30" i="33"/>
  <c r="B31" i="33"/>
  <c r="B32" i="33"/>
  <c r="B33" i="33"/>
  <c r="B34" i="33"/>
  <c r="B35" i="33"/>
  <c r="B36" i="33"/>
  <c r="B37" i="33"/>
  <c r="B38" i="33"/>
  <c r="B39" i="33"/>
  <c r="B40" i="33"/>
  <c r="B41" i="33"/>
  <c r="B26" i="33"/>
  <c r="B10" i="33"/>
  <c r="B11" i="33"/>
  <c r="B12" i="33"/>
  <c r="B13" i="33"/>
  <c r="B14" i="33"/>
  <c r="B15" i="33"/>
  <c r="B16" i="33"/>
  <c r="B17" i="33"/>
  <c r="B18" i="33"/>
  <c r="B19" i="33"/>
  <c r="B20" i="33"/>
  <c r="B21" i="33"/>
  <c r="B22" i="33"/>
  <c r="B23" i="33"/>
  <c r="B24" i="33"/>
  <c r="B25" i="33"/>
  <c r="B9" i="33"/>
  <c r="E9" i="33" s="1"/>
  <c r="B20" i="36"/>
  <c r="B21" i="36"/>
  <c r="B22" i="36"/>
  <c r="B23" i="36"/>
  <c r="B24" i="36"/>
  <c r="B25" i="36"/>
  <c r="B26" i="36"/>
  <c r="B27" i="36"/>
  <c r="B19" i="36"/>
  <c r="C19" i="36" s="1"/>
  <c r="B10" i="36"/>
  <c r="B11" i="36"/>
  <c r="B12" i="36"/>
  <c r="B13" i="36"/>
  <c r="B14" i="36"/>
  <c r="B15" i="36"/>
  <c r="B16" i="36"/>
  <c r="B17" i="36"/>
  <c r="B18" i="36"/>
  <c r="B9" i="36"/>
  <c r="B24" i="39"/>
  <c r="B25" i="39"/>
  <c r="B26" i="39"/>
  <c r="B27" i="39"/>
  <c r="B28" i="39"/>
  <c r="B29" i="39"/>
  <c r="B30" i="39"/>
  <c r="B31" i="39"/>
  <c r="B32" i="39"/>
  <c r="B33" i="39"/>
  <c r="B34" i="39"/>
  <c r="B35" i="39"/>
  <c r="B36" i="39"/>
  <c r="B23" i="39"/>
  <c r="B10" i="39"/>
  <c r="B11" i="39"/>
  <c r="B12" i="39"/>
  <c r="B13" i="39"/>
  <c r="B14" i="39"/>
  <c r="B15" i="39"/>
  <c r="B16" i="39"/>
  <c r="B17" i="39"/>
  <c r="B18" i="39"/>
  <c r="B19" i="39"/>
  <c r="B20" i="39"/>
  <c r="B21" i="39"/>
  <c r="B22" i="39"/>
  <c r="B9" i="39"/>
  <c r="B24" i="30"/>
  <c r="B25" i="30"/>
  <c r="B26" i="30"/>
  <c r="B27" i="30"/>
  <c r="B28" i="30"/>
  <c r="B29" i="30"/>
  <c r="B30" i="30"/>
  <c r="B31" i="30"/>
  <c r="B32" i="30"/>
  <c r="B33" i="30"/>
  <c r="B34" i="30"/>
  <c r="B35" i="30"/>
  <c r="B36" i="30"/>
  <c r="B23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2" i="30"/>
  <c r="B9" i="30"/>
  <c r="C9" i="30" s="1"/>
  <c r="B36" i="26"/>
  <c r="B37" i="26"/>
  <c r="B38" i="26"/>
  <c r="B39" i="26"/>
  <c r="B40" i="26"/>
  <c r="B41" i="26"/>
  <c r="B42" i="26"/>
  <c r="B43" i="26"/>
  <c r="B44" i="26"/>
  <c r="B45" i="26"/>
  <c r="B46" i="26"/>
  <c r="B35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10" i="26"/>
  <c r="B36" i="24"/>
  <c r="B37" i="24"/>
  <c r="B38" i="24"/>
  <c r="B39" i="24"/>
  <c r="B40" i="24"/>
  <c r="B41" i="24"/>
  <c r="B42" i="24"/>
  <c r="B43" i="24"/>
  <c r="B44" i="24"/>
  <c r="B35" i="24"/>
  <c r="B11" i="24"/>
  <c r="B12" i="24"/>
  <c r="B13" i="24"/>
  <c r="B14" i="24"/>
  <c r="B15" i="24"/>
  <c r="B16" i="24"/>
  <c r="B17" i="24"/>
  <c r="B18" i="24"/>
  <c r="B19" i="24"/>
  <c r="B10" i="24"/>
  <c r="B55" i="38"/>
  <c r="B56" i="38"/>
  <c r="B57" i="38"/>
  <c r="B58" i="38"/>
  <c r="B59" i="38"/>
  <c r="B60" i="38"/>
  <c r="B61" i="38"/>
  <c r="B62" i="38"/>
  <c r="B63" i="38"/>
  <c r="B64" i="38"/>
  <c r="B65" i="38"/>
  <c r="B66" i="38"/>
  <c r="B67" i="38"/>
  <c r="B68" i="38"/>
  <c r="B69" i="38"/>
  <c r="B70" i="38"/>
  <c r="B71" i="38"/>
  <c r="B72" i="38"/>
  <c r="B73" i="38"/>
  <c r="B74" i="38"/>
  <c r="B75" i="38"/>
  <c r="B76" i="38"/>
  <c r="B77" i="38"/>
  <c r="B78" i="38"/>
  <c r="B79" i="38"/>
  <c r="B80" i="38"/>
  <c r="B81" i="38"/>
  <c r="B82" i="38"/>
  <c r="B83" i="38"/>
  <c r="B84" i="38"/>
  <c r="B85" i="38"/>
  <c r="B86" i="38"/>
  <c r="B54" i="38"/>
  <c r="B11" i="38"/>
  <c r="B1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B35" i="38"/>
  <c r="B36" i="38"/>
  <c r="B37" i="38"/>
  <c r="B38" i="38"/>
  <c r="B39" i="38"/>
  <c r="B40" i="38"/>
  <c r="B41" i="38"/>
  <c r="B42" i="38"/>
  <c r="B10" i="38"/>
  <c r="D10" i="38" s="1"/>
  <c r="C7" i="38" s="1"/>
  <c r="B43" i="32"/>
  <c r="B44" i="32"/>
  <c r="B45" i="32"/>
  <c r="B46" i="32"/>
  <c r="B47" i="32"/>
  <c r="B48" i="32"/>
  <c r="B49" i="32"/>
  <c r="B50" i="32"/>
  <c r="B51" i="32"/>
  <c r="B52" i="32"/>
  <c r="B53" i="32"/>
  <c r="B54" i="32"/>
  <c r="B55" i="32"/>
  <c r="B56" i="32"/>
  <c r="B57" i="32"/>
  <c r="B58" i="32"/>
  <c r="B59" i="32"/>
  <c r="B60" i="32"/>
  <c r="B61" i="32"/>
  <c r="B42" i="32"/>
  <c r="E42" i="32" s="1"/>
  <c r="B11" i="32"/>
  <c r="B12" i="32"/>
  <c r="B13" i="32"/>
  <c r="B14" i="32"/>
  <c r="B15" i="32"/>
  <c r="B16" i="32"/>
  <c r="B17" i="32"/>
  <c r="B18" i="32"/>
  <c r="B19" i="32"/>
  <c r="B20" i="32"/>
  <c r="B21" i="32"/>
  <c r="B22" i="32"/>
  <c r="B23" i="32"/>
  <c r="B24" i="32"/>
  <c r="B25" i="32"/>
  <c r="B26" i="32"/>
  <c r="B27" i="32"/>
  <c r="B28" i="32"/>
  <c r="B29" i="32"/>
  <c r="B10" i="32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7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58" i="18"/>
  <c r="B44" i="18"/>
  <c r="B45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31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10" i="18"/>
  <c r="E10" i="18" s="1"/>
  <c r="B40" i="42"/>
  <c r="B41" i="42"/>
  <c r="B42" i="42"/>
  <c r="B43" i="42"/>
  <c r="B44" i="42"/>
  <c r="B45" i="42"/>
  <c r="B46" i="42"/>
  <c r="B47" i="42"/>
  <c r="B48" i="42"/>
  <c r="B49" i="42"/>
  <c r="B50" i="42"/>
  <c r="B51" i="42"/>
  <c r="B52" i="42"/>
  <c r="B53" i="42"/>
  <c r="B54" i="42"/>
  <c r="B55" i="42"/>
  <c r="B39" i="42"/>
  <c r="D39" i="42" s="1"/>
  <c r="C36" i="42" s="1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10" i="42"/>
  <c r="B45" i="25"/>
  <c r="B46" i="25"/>
  <c r="B47" i="25"/>
  <c r="B48" i="25"/>
  <c r="B49" i="25"/>
  <c r="B50" i="25"/>
  <c r="B51" i="25"/>
  <c r="B52" i="25"/>
  <c r="B53" i="25"/>
  <c r="B54" i="25"/>
  <c r="B55" i="25"/>
  <c r="B56" i="25"/>
  <c r="B57" i="25"/>
  <c r="B58" i="25"/>
  <c r="B59" i="25"/>
  <c r="B60" i="25"/>
  <c r="B61" i="25"/>
  <c r="B62" i="25"/>
  <c r="B63" i="25"/>
  <c r="B64" i="25"/>
  <c r="B65" i="25"/>
  <c r="B66" i="25"/>
  <c r="B67" i="25"/>
  <c r="B68" i="25"/>
  <c r="B34" i="25"/>
  <c r="C34" i="25" s="1"/>
  <c r="B11" i="25"/>
  <c r="C11" i="25" s="1"/>
  <c r="B12" i="25"/>
  <c r="C12" i="25" s="1"/>
  <c r="B13" i="25"/>
  <c r="C13" i="25" s="1"/>
  <c r="B14" i="25"/>
  <c r="C14" i="25" s="1"/>
  <c r="B15" i="25"/>
  <c r="C15" i="25" s="1"/>
  <c r="B16" i="25"/>
  <c r="C16" i="25" s="1"/>
  <c r="B17" i="25"/>
  <c r="C17" i="25" s="1"/>
  <c r="B18" i="25"/>
  <c r="C18" i="25" s="1"/>
  <c r="B19" i="25"/>
  <c r="C19" i="25" s="1"/>
  <c r="B20" i="25"/>
  <c r="C20" i="25" s="1"/>
  <c r="B21" i="25"/>
  <c r="C21" i="25" s="1"/>
  <c r="B22" i="25"/>
  <c r="C22" i="25" s="1"/>
  <c r="B23" i="25"/>
  <c r="C23" i="25" s="1"/>
  <c r="B24" i="25"/>
  <c r="C24" i="25" s="1"/>
  <c r="B25" i="25"/>
  <c r="C25" i="25" s="1"/>
  <c r="B26" i="25"/>
  <c r="C26" i="25" s="1"/>
  <c r="B27" i="25"/>
  <c r="C27" i="25" s="1"/>
  <c r="B28" i="25"/>
  <c r="C28" i="25" s="1"/>
  <c r="B29" i="25"/>
  <c r="C29" i="25" s="1"/>
  <c r="B30" i="25"/>
  <c r="C30" i="25" s="1"/>
  <c r="B31" i="25"/>
  <c r="C31" i="25" s="1"/>
  <c r="B32" i="25"/>
  <c r="C32" i="25" s="1"/>
  <c r="B33" i="25"/>
  <c r="C33" i="25" s="1"/>
  <c r="B10" i="25"/>
  <c r="B40" i="41"/>
  <c r="B41" i="41"/>
  <c r="E41" i="41" s="1"/>
  <c r="B42" i="41"/>
  <c r="B43" i="41"/>
  <c r="B44" i="41"/>
  <c r="C44" i="41" s="1"/>
  <c r="B45" i="41"/>
  <c r="B46" i="41"/>
  <c r="E46" i="41" s="1"/>
  <c r="B47" i="41"/>
  <c r="B48" i="41"/>
  <c r="C48" i="41" s="1"/>
  <c r="B49" i="41"/>
  <c r="B50" i="41"/>
  <c r="B51" i="41"/>
  <c r="D51" i="41" s="1"/>
  <c r="B52" i="41"/>
  <c r="C52" i="41" s="1"/>
  <c r="B53" i="41"/>
  <c r="B39" i="41"/>
  <c r="B11" i="41"/>
  <c r="B12" i="41"/>
  <c r="E12" i="41" s="1"/>
  <c r="B13" i="41"/>
  <c r="D13" i="41" s="1"/>
  <c r="B14" i="41"/>
  <c r="D14" i="41" s="1"/>
  <c r="B15" i="41"/>
  <c r="B16" i="41"/>
  <c r="E16" i="41" s="1"/>
  <c r="B17" i="41"/>
  <c r="B18" i="41"/>
  <c r="B19" i="41"/>
  <c r="D19" i="41" s="1"/>
  <c r="B20" i="41"/>
  <c r="E20" i="41" s="1"/>
  <c r="B21" i="41"/>
  <c r="E21" i="41" s="1"/>
  <c r="B22" i="41"/>
  <c r="D22" i="41" s="1"/>
  <c r="B23" i="41"/>
  <c r="B24" i="41"/>
  <c r="B10" i="41"/>
  <c r="F2" i="45"/>
  <c r="G29" i="40"/>
  <c r="G28" i="40"/>
  <c r="G8" i="40"/>
  <c r="G7" i="40"/>
  <c r="G30" i="23"/>
  <c r="G29" i="23"/>
  <c r="G8" i="23"/>
  <c r="G7" i="23"/>
  <c r="G28" i="43"/>
  <c r="G27" i="43"/>
  <c r="G8" i="43"/>
  <c r="G7" i="43"/>
  <c r="D18" i="35" l="1"/>
  <c r="C20" i="28"/>
  <c r="D20" i="28"/>
  <c r="C18" i="35"/>
  <c r="C29" i="35"/>
  <c r="D29" i="35"/>
  <c r="E34" i="25"/>
  <c r="D34" i="25"/>
  <c r="D33" i="25"/>
  <c r="D25" i="25"/>
  <c r="D17" i="25"/>
  <c r="E33" i="25"/>
  <c r="E25" i="25"/>
  <c r="E17" i="25"/>
  <c r="D32" i="25"/>
  <c r="D24" i="25"/>
  <c r="D16" i="25"/>
  <c r="E32" i="25"/>
  <c r="E24" i="25"/>
  <c r="E16" i="25"/>
  <c r="D31" i="25"/>
  <c r="D23" i="25"/>
  <c r="D15" i="25"/>
  <c r="E31" i="25"/>
  <c r="E23" i="25"/>
  <c r="E15" i="25"/>
  <c r="D30" i="25"/>
  <c r="D22" i="25"/>
  <c r="D14" i="25"/>
  <c r="E30" i="25"/>
  <c r="E22" i="25"/>
  <c r="E14" i="25"/>
  <c r="D29" i="25"/>
  <c r="D21" i="25"/>
  <c r="D13" i="25"/>
  <c r="E29" i="25"/>
  <c r="E21" i="25"/>
  <c r="E13" i="25"/>
  <c r="D28" i="25"/>
  <c r="D20" i="25"/>
  <c r="D12" i="25"/>
  <c r="E28" i="25"/>
  <c r="E20" i="25"/>
  <c r="E12" i="25"/>
  <c r="D27" i="25"/>
  <c r="D19" i="25"/>
  <c r="D11" i="25"/>
  <c r="E27" i="25"/>
  <c r="E19" i="25"/>
  <c r="E11" i="25"/>
  <c r="D26" i="25"/>
  <c r="D18" i="25"/>
  <c r="E26" i="25"/>
  <c r="E18" i="25"/>
  <c r="C10" i="31"/>
  <c r="E22" i="28"/>
  <c r="C50" i="41"/>
  <c r="D50" i="41"/>
  <c r="C42" i="41"/>
  <c r="D42" i="41"/>
  <c r="E65" i="25"/>
  <c r="C65" i="25"/>
  <c r="D65" i="25"/>
  <c r="E57" i="25"/>
  <c r="C57" i="25"/>
  <c r="D57" i="25"/>
  <c r="E49" i="25"/>
  <c r="C49" i="25"/>
  <c r="D49" i="25"/>
  <c r="C25" i="42"/>
  <c r="D25" i="42"/>
  <c r="E25" i="42"/>
  <c r="E17" i="42"/>
  <c r="C17" i="42"/>
  <c r="D17" i="42"/>
  <c r="E55" i="42"/>
  <c r="D55" i="42"/>
  <c r="C55" i="42"/>
  <c r="E47" i="42"/>
  <c r="D47" i="42"/>
  <c r="C47" i="42"/>
  <c r="D12" i="24"/>
  <c r="C12" i="24"/>
  <c r="E12" i="24"/>
  <c r="C12" i="36"/>
  <c r="D12" i="36"/>
  <c r="E12" i="36"/>
  <c r="E11" i="41"/>
  <c r="C11" i="41"/>
  <c r="D47" i="41"/>
  <c r="E47" i="41"/>
  <c r="E10" i="25"/>
  <c r="D10" i="25"/>
  <c r="C7" i="25" s="1"/>
  <c r="C10" i="25"/>
  <c r="E18" i="41"/>
  <c r="C18" i="41"/>
  <c r="D39" i="41"/>
  <c r="C36" i="41" s="1"/>
  <c r="E39" i="41"/>
  <c r="E44" i="25"/>
  <c r="D44" i="25"/>
  <c r="C41" i="25" s="1"/>
  <c r="C44" i="25"/>
  <c r="E61" i="25"/>
  <c r="D61" i="25"/>
  <c r="C61" i="25"/>
  <c r="E53" i="25"/>
  <c r="D53" i="25"/>
  <c r="C53" i="25"/>
  <c r="E45" i="25"/>
  <c r="D45" i="25"/>
  <c r="C45" i="25"/>
  <c r="D21" i="42"/>
  <c r="C21" i="42"/>
  <c r="E21" i="42"/>
  <c r="D13" i="42"/>
  <c r="C13" i="42"/>
  <c r="E13" i="42"/>
  <c r="E51" i="42"/>
  <c r="C51" i="42"/>
  <c r="D51" i="42"/>
  <c r="E43" i="42"/>
  <c r="C43" i="42"/>
  <c r="D43" i="42"/>
  <c r="D26" i="18"/>
  <c r="E26" i="18"/>
  <c r="C26" i="18"/>
  <c r="D18" i="18"/>
  <c r="C18" i="18"/>
  <c r="E18" i="18"/>
  <c r="E31" i="18"/>
  <c r="D31" i="18"/>
  <c r="C31" i="18"/>
  <c r="E36" i="18"/>
  <c r="D36" i="18"/>
  <c r="C36" i="18"/>
  <c r="D76" i="18"/>
  <c r="C76" i="18"/>
  <c r="E76" i="18"/>
  <c r="D68" i="18"/>
  <c r="C68" i="18"/>
  <c r="E68" i="18"/>
  <c r="E60" i="18"/>
  <c r="D60" i="18"/>
  <c r="C60" i="18"/>
  <c r="D88" i="18"/>
  <c r="E88" i="18"/>
  <c r="C88" i="18"/>
  <c r="E80" i="18"/>
  <c r="C80" i="18"/>
  <c r="D80" i="18"/>
  <c r="C24" i="32"/>
  <c r="E24" i="32"/>
  <c r="D24" i="32"/>
  <c r="C16" i="32"/>
  <c r="D16" i="32"/>
  <c r="E16" i="32"/>
  <c r="C60" i="32"/>
  <c r="D60" i="32"/>
  <c r="E60" i="32"/>
  <c r="E52" i="32"/>
  <c r="C52" i="32"/>
  <c r="D52" i="32"/>
  <c r="D44" i="32"/>
  <c r="E44" i="32"/>
  <c r="C44" i="32"/>
  <c r="E37" i="38"/>
  <c r="C37" i="38"/>
  <c r="D37" i="38"/>
  <c r="E29" i="38"/>
  <c r="C29" i="38"/>
  <c r="D29" i="38"/>
  <c r="D21" i="38"/>
  <c r="C21" i="38"/>
  <c r="E21" i="38"/>
  <c r="E13" i="38"/>
  <c r="C13" i="38"/>
  <c r="D13" i="38"/>
  <c r="E82" i="38"/>
  <c r="D82" i="38"/>
  <c r="C82" i="38"/>
  <c r="E74" i="38"/>
  <c r="D74" i="38"/>
  <c r="C74" i="38"/>
  <c r="E66" i="38"/>
  <c r="D66" i="38"/>
  <c r="C66" i="38"/>
  <c r="E58" i="38"/>
  <c r="D58" i="38"/>
  <c r="C58" i="38"/>
  <c r="E16" i="24"/>
  <c r="D16" i="24"/>
  <c r="C16" i="24"/>
  <c r="E43" i="24"/>
  <c r="D43" i="24"/>
  <c r="C43" i="24"/>
  <c r="D10" i="26"/>
  <c r="C7" i="26" s="1"/>
  <c r="C10" i="26"/>
  <c r="D15" i="26"/>
  <c r="C15" i="26"/>
  <c r="E15" i="26"/>
  <c r="C44" i="26"/>
  <c r="D44" i="26"/>
  <c r="E44" i="26"/>
  <c r="C36" i="26"/>
  <c r="E36" i="26"/>
  <c r="D36" i="26"/>
  <c r="C17" i="30"/>
  <c r="D17" i="30"/>
  <c r="E17" i="30"/>
  <c r="C23" i="30"/>
  <c r="E23" i="30"/>
  <c r="D23" i="30"/>
  <c r="D31" i="30"/>
  <c r="E31" i="30"/>
  <c r="C31" i="30"/>
  <c r="E9" i="39"/>
  <c r="D9" i="39"/>
  <c r="C9" i="39"/>
  <c r="E15" i="39"/>
  <c r="D15" i="39"/>
  <c r="C15" i="39"/>
  <c r="D35" i="39"/>
  <c r="C35" i="39"/>
  <c r="E35" i="39"/>
  <c r="D27" i="39"/>
  <c r="C27" i="39"/>
  <c r="E27" i="39"/>
  <c r="D18" i="36"/>
  <c r="C18" i="36"/>
  <c r="E18" i="36"/>
  <c r="E10" i="36"/>
  <c r="D10" i="36"/>
  <c r="C10" i="36"/>
  <c r="D25" i="36"/>
  <c r="C25" i="36"/>
  <c r="E25" i="36"/>
  <c r="D25" i="33"/>
  <c r="C25" i="33"/>
  <c r="E25" i="33"/>
  <c r="D17" i="33"/>
  <c r="C17" i="33"/>
  <c r="E17" i="33"/>
  <c r="E26" i="33"/>
  <c r="D26" i="33"/>
  <c r="C26" i="33"/>
  <c r="D35" i="33"/>
  <c r="E35" i="33"/>
  <c r="C35" i="33"/>
  <c r="D27" i="33"/>
  <c r="E27" i="33"/>
  <c r="C27" i="33"/>
  <c r="C16" i="28"/>
  <c r="E16" i="28"/>
  <c r="D16" i="28"/>
  <c r="E30" i="28"/>
  <c r="C30" i="28"/>
  <c r="D30" i="28"/>
  <c r="E33" i="28"/>
  <c r="C33" i="28"/>
  <c r="D33" i="28"/>
  <c r="C21" i="27"/>
  <c r="D21" i="27"/>
  <c r="E21" i="27"/>
  <c r="C13" i="27"/>
  <c r="D13" i="27"/>
  <c r="E13" i="27"/>
  <c r="C47" i="27"/>
  <c r="E47" i="27"/>
  <c r="D47" i="27"/>
  <c r="C39" i="27"/>
  <c r="E39" i="27"/>
  <c r="D39" i="27"/>
  <c r="D11" i="22"/>
  <c r="C11" i="22"/>
  <c r="E11" i="22"/>
  <c r="D11" i="21"/>
  <c r="C8" i="21" s="1"/>
  <c r="C11" i="21"/>
  <c r="E13" i="21"/>
  <c r="D13" i="21"/>
  <c r="C13" i="21"/>
  <c r="C37" i="21"/>
  <c r="E37" i="21"/>
  <c r="D37" i="21"/>
  <c r="E19" i="29"/>
  <c r="D19" i="29"/>
  <c r="C19" i="29"/>
  <c r="E11" i="29"/>
  <c r="C11" i="29"/>
  <c r="D11" i="29"/>
  <c r="D38" i="29"/>
  <c r="C38" i="29"/>
  <c r="E38" i="29"/>
  <c r="E15" i="35"/>
  <c r="D15" i="35"/>
  <c r="C15" i="35"/>
  <c r="C27" i="35"/>
  <c r="D27" i="35"/>
  <c r="E27" i="35"/>
  <c r="E9" i="34"/>
  <c r="C9" i="34"/>
  <c r="E16" i="34"/>
  <c r="D16" i="34"/>
  <c r="C16" i="34"/>
  <c r="E17" i="31"/>
  <c r="D17" i="31"/>
  <c r="C17" i="31"/>
  <c r="E31" i="31"/>
  <c r="D31" i="31"/>
  <c r="C28" i="31" s="1"/>
  <c r="C31" i="31"/>
  <c r="C22" i="41"/>
  <c r="D12" i="41"/>
  <c r="D52" i="41"/>
  <c r="D9" i="30"/>
  <c r="C35" i="30"/>
  <c r="E35" i="30"/>
  <c r="D35" i="30"/>
  <c r="C46" i="42"/>
  <c r="D46" i="42"/>
  <c r="E46" i="42"/>
  <c r="C21" i="18"/>
  <c r="E21" i="18"/>
  <c r="D21" i="18"/>
  <c r="D39" i="18"/>
  <c r="E39" i="18"/>
  <c r="C39" i="18"/>
  <c r="E71" i="18"/>
  <c r="D71" i="18"/>
  <c r="C71" i="18"/>
  <c r="E63" i="18"/>
  <c r="C63" i="18"/>
  <c r="D63" i="18"/>
  <c r="C83" i="18"/>
  <c r="E83" i="18"/>
  <c r="D83" i="18"/>
  <c r="C55" i="32"/>
  <c r="D55" i="32"/>
  <c r="E55" i="32"/>
  <c r="E61" i="38"/>
  <c r="D61" i="38"/>
  <c r="C61" i="38"/>
  <c r="C60" i="38"/>
  <c r="D60" i="38"/>
  <c r="E60" i="38"/>
  <c r="E18" i="24"/>
  <c r="D18" i="24"/>
  <c r="C18" i="24"/>
  <c r="E35" i="24"/>
  <c r="D35" i="24"/>
  <c r="C32" i="24" s="1"/>
  <c r="C35" i="24"/>
  <c r="C37" i="24"/>
  <c r="E37" i="24"/>
  <c r="D37" i="24"/>
  <c r="D17" i="26"/>
  <c r="E17" i="26"/>
  <c r="C17" i="26"/>
  <c r="E38" i="26"/>
  <c r="D38" i="26"/>
  <c r="C38" i="26"/>
  <c r="C33" i="30"/>
  <c r="E33" i="30"/>
  <c r="D33" i="30"/>
  <c r="E23" i="39"/>
  <c r="D23" i="39"/>
  <c r="C23" i="39"/>
  <c r="E15" i="27"/>
  <c r="D15" i="27"/>
  <c r="C15" i="27"/>
  <c r="C10" i="41"/>
  <c r="E10" i="41"/>
  <c r="E17" i="41"/>
  <c r="C17" i="41"/>
  <c r="D17" i="41"/>
  <c r="D53" i="41"/>
  <c r="E53" i="41"/>
  <c r="D45" i="41"/>
  <c r="E45" i="41"/>
  <c r="D68" i="25"/>
  <c r="E68" i="25"/>
  <c r="C68" i="25"/>
  <c r="D60" i="25"/>
  <c r="E60" i="25"/>
  <c r="C60" i="25"/>
  <c r="D52" i="25"/>
  <c r="E52" i="25"/>
  <c r="C52" i="25"/>
  <c r="E10" i="42"/>
  <c r="C10" i="42"/>
  <c r="C20" i="42"/>
  <c r="D20" i="42"/>
  <c r="E20" i="42"/>
  <c r="C12" i="42"/>
  <c r="D12" i="42"/>
  <c r="E12" i="42"/>
  <c r="D50" i="42"/>
  <c r="E50" i="42"/>
  <c r="C50" i="42"/>
  <c r="E42" i="42"/>
  <c r="C42" i="42"/>
  <c r="D42" i="42"/>
  <c r="D25" i="18"/>
  <c r="C25" i="18"/>
  <c r="E25" i="18"/>
  <c r="D17" i="18"/>
  <c r="C17" i="18"/>
  <c r="E17" i="18"/>
  <c r="C43" i="18"/>
  <c r="E43" i="18"/>
  <c r="D43" i="18"/>
  <c r="C35" i="18"/>
  <c r="E35" i="18"/>
  <c r="D35" i="18"/>
  <c r="C75" i="18"/>
  <c r="E75" i="18"/>
  <c r="D75" i="18"/>
  <c r="C67" i="18"/>
  <c r="D67" i="18"/>
  <c r="E67" i="18"/>
  <c r="C59" i="18"/>
  <c r="E59" i="18"/>
  <c r="D59" i="18"/>
  <c r="D87" i="18"/>
  <c r="E87" i="18"/>
  <c r="C87" i="18"/>
  <c r="D79" i="18"/>
  <c r="C79" i="18"/>
  <c r="E79" i="18"/>
  <c r="E23" i="32"/>
  <c r="C23" i="32"/>
  <c r="D23" i="32"/>
  <c r="D15" i="32"/>
  <c r="E15" i="32"/>
  <c r="C15" i="32"/>
  <c r="C59" i="32"/>
  <c r="D59" i="32"/>
  <c r="E59" i="32"/>
  <c r="E51" i="32"/>
  <c r="D51" i="32"/>
  <c r="C51" i="32"/>
  <c r="D43" i="32"/>
  <c r="E43" i="32"/>
  <c r="C43" i="32"/>
  <c r="D36" i="38"/>
  <c r="E36" i="38"/>
  <c r="C36" i="38"/>
  <c r="E28" i="38"/>
  <c r="C28" i="38"/>
  <c r="D28" i="38"/>
  <c r="D20" i="38"/>
  <c r="E20" i="38"/>
  <c r="C20" i="38"/>
  <c r="D12" i="38"/>
  <c r="E12" i="38"/>
  <c r="C12" i="38"/>
  <c r="E81" i="38"/>
  <c r="D81" i="38"/>
  <c r="C81" i="38"/>
  <c r="E73" i="38"/>
  <c r="D73" i="38"/>
  <c r="C73" i="38"/>
  <c r="E65" i="38"/>
  <c r="D65" i="38"/>
  <c r="C65" i="38"/>
  <c r="C57" i="38"/>
  <c r="D57" i="38"/>
  <c r="E57" i="38"/>
  <c r="C15" i="24"/>
  <c r="D15" i="24"/>
  <c r="E15" i="24"/>
  <c r="E42" i="24"/>
  <c r="D42" i="24"/>
  <c r="C42" i="24"/>
  <c r="E22" i="26"/>
  <c r="D22" i="26"/>
  <c r="C22" i="26"/>
  <c r="C14" i="26"/>
  <c r="E14" i="26"/>
  <c r="D14" i="26"/>
  <c r="D43" i="26"/>
  <c r="E43" i="26"/>
  <c r="C43" i="26"/>
  <c r="D16" i="30"/>
  <c r="C16" i="30"/>
  <c r="E16" i="30"/>
  <c r="E30" i="30"/>
  <c r="D30" i="30"/>
  <c r="C30" i="30"/>
  <c r="C22" i="39"/>
  <c r="E22" i="39"/>
  <c r="D22" i="39"/>
  <c r="C14" i="39"/>
  <c r="E14" i="39"/>
  <c r="D14" i="39"/>
  <c r="D34" i="39"/>
  <c r="C34" i="39"/>
  <c r="E34" i="39"/>
  <c r="D26" i="39"/>
  <c r="E26" i="39"/>
  <c r="C26" i="39"/>
  <c r="C17" i="36"/>
  <c r="E17" i="36"/>
  <c r="D17" i="36"/>
  <c r="E19" i="36"/>
  <c r="D19" i="36"/>
  <c r="D24" i="36"/>
  <c r="C24" i="36"/>
  <c r="E24" i="36"/>
  <c r="C24" i="33"/>
  <c r="E24" i="33"/>
  <c r="D24" i="33"/>
  <c r="C16" i="33"/>
  <c r="E16" i="33"/>
  <c r="D16" i="33"/>
  <c r="E34" i="33"/>
  <c r="D34" i="33"/>
  <c r="C34" i="33"/>
  <c r="E9" i="28"/>
  <c r="D9" i="28"/>
  <c r="C9" i="28"/>
  <c r="E15" i="28"/>
  <c r="D15" i="28"/>
  <c r="C15" i="28"/>
  <c r="C29" i="28"/>
  <c r="E29" i="28"/>
  <c r="D29" i="28"/>
  <c r="D32" i="28"/>
  <c r="C32" i="28"/>
  <c r="E32" i="28"/>
  <c r="C20" i="27"/>
  <c r="D20" i="27"/>
  <c r="E20" i="27"/>
  <c r="C12" i="27"/>
  <c r="D12" i="27"/>
  <c r="E12" i="27"/>
  <c r="D46" i="27"/>
  <c r="C46" i="27"/>
  <c r="E46" i="27"/>
  <c r="D29" i="22"/>
  <c r="C26" i="22" s="1"/>
  <c r="C29" i="22"/>
  <c r="E29" i="22"/>
  <c r="D20" i="21"/>
  <c r="C20" i="21"/>
  <c r="E20" i="21"/>
  <c r="D12" i="21"/>
  <c r="C12" i="21"/>
  <c r="E12" i="21"/>
  <c r="E36" i="21"/>
  <c r="C36" i="21"/>
  <c r="D36" i="21"/>
  <c r="E18" i="29"/>
  <c r="D18" i="29"/>
  <c r="C18" i="29"/>
  <c r="C34" i="29"/>
  <c r="E34" i="29"/>
  <c r="D34" i="29"/>
  <c r="C31" i="29" s="1"/>
  <c r="C37" i="29"/>
  <c r="D37" i="29"/>
  <c r="E37" i="29"/>
  <c r="D14" i="35"/>
  <c r="C14" i="35"/>
  <c r="E14" i="35"/>
  <c r="C26" i="35"/>
  <c r="E26" i="35"/>
  <c r="D26" i="35"/>
  <c r="D22" i="34"/>
  <c r="C22" i="34"/>
  <c r="E22" i="34"/>
  <c r="E16" i="31"/>
  <c r="D16" i="31"/>
  <c r="C16" i="31"/>
  <c r="C37" i="31"/>
  <c r="D37" i="31"/>
  <c r="E37" i="31"/>
  <c r="C21" i="41"/>
  <c r="D11" i="41"/>
  <c r="E14" i="41"/>
  <c r="D10" i="42"/>
  <c r="C7" i="42" s="1"/>
  <c r="E9" i="30"/>
  <c r="D9" i="34"/>
  <c r="E39" i="24"/>
  <c r="D39" i="24"/>
  <c r="C39" i="24"/>
  <c r="C19" i="26"/>
  <c r="D19" i="26"/>
  <c r="E19" i="26"/>
  <c r="C40" i="26"/>
  <c r="E40" i="26"/>
  <c r="D40" i="26"/>
  <c r="E21" i="30"/>
  <c r="C21" i="30"/>
  <c r="D21" i="30"/>
  <c r="E13" i="30"/>
  <c r="C13" i="30"/>
  <c r="D13" i="30"/>
  <c r="C27" i="30"/>
  <c r="D27" i="30"/>
  <c r="E27" i="30"/>
  <c r="D19" i="39"/>
  <c r="C19" i="39"/>
  <c r="E19" i="39"/>
  <c r="D11" i="39"/>
  <c r="E11" i="39"/>
  <c r="C11" i="39"/>
  <c r="E31" i="39"/>
  <c r="C31" i="39"/>
  <c r="D31" i="39"/>
  <c r="E9" i="36"/>
  <c r="C9" i="36"/>
  <c r="E14" i="36"/>
  <c r="D14" i="36"/>
  <c r="C14" i="36"/>
  <c r="C21" i="36"/>
  <c r="D21" i="36"/>
  <c r="E21" i="36"/>
  <c r="D21" i="33"/>
  <c r="C21" i="33"/>
  <c r="E21" i="33"/>
  <c r="D13" i="33"/>
  <c r="E13" i="33"/>
  <c r="C13" i="33"/>
  <c r="C49" i="41"/>
  <c r="D49" i="41"/>
  <c r="C41" i="41"/>
  <c r="D41" i="41"/>
  <c r="C64" i="25"/>
  <c r="D64" i="25"/>
  <c r="E64" i="25"/>
  <c r="E56" i="25"/>
  <c r="C56" i="25"/>
  <c r="D56" i="25"/>
  <c r="E48" i="25"/>
  <c r="C48" i="25"/>
  <c r="D48" i="25"/>
  <c r="C24" i="42"/>
  <c r="D24" i="42"/>
  <c r="E24" i="42"/>
  <c r="C16" i="42"/>
  <c r="D16" i="42"/>
  <c r="E16" i="42"/>
  <c r="C24" i="41"/>
  <c r="D24" i="41"/>
  <c r="C16" i="41"/>
  <c r="D16" i="41"/>
  <c r="E67" i="25"/>
  <c r="C67" i="25"/>
  <c r="D67" i="25"/>
  <c r="D59" i="25"/>
  <c r="E59" i="25"/>
  <c r="C59" i="25"/>
  <c r="D51" i="25"/>
  <c r="E51" i="25"/>
  <c r="C51" i="25"/>
  <c r="E27" i="42"/>
  <c r="C27" i="42"/>
  <c r="D27" i="42"/>
  <c r="D19" i="42"/>
  <c r="E19" i="42"/>
  <c r="C19" i="42"/>
  <c r="C11" i="42"/>
  <c r="D11" i="42"/>
  <c r="E11" i="42"/>
  <c r="E49" i="42"/>
  <c r="D49" i="42"/>
  <c r="C49" i="42"/>
  <c r="E41" i="42"/>
  <c r="D41" i="42"/>
  <c r="C41" i="42"/>
  <c r="D24" i="18"/>
  <c r="C24" i="18"/>
  <c r="E24" i="18"/>
  <c r="D16" i="18"/>
  <c r="C16" i="18"/>
  <c r="E16" i="18"/>
  <c r="C42" i="18"/>
  <c r="E42" i="18"/>
  <c r="D42" i="18"/>
  <c r="C34" i="18"/>
  <c r="E34" i="18"/>
  <c r="D34" i="18"/>
  <c r="C74" i="18"/>
  <c r="E74" i="18"/>
  <c r="D74" i="18"/>
  <c r="C66" i="18"/>
  <c r="D66" i="18"/>
  <c r="E66" i="18"/>
  <c r="D78" i="18"/>
  <c r="C78" i="18"/>
  <c r="E78" i="18"/>
  <c r="E86" i="18"/>
  <c r="D86" i="18"/>
  <c r="C86" i="18"/>
  <c r="E10" i="32"/>
  <c r="D10" i="32"/>
  <c r="C7" i="32" s="1"/>
  <c r="C10" i="32"/>
  <c r="E22" i="32"/>
  <c r="D22" i="32"/>
  <c r="C22" i="32"/>
  <c r="E14" i="32"/>
  <c r="D14" i="32"/>
  <c r="C14" i="32"/>
  <c r="D58" i="32"/>
  <c r="C58" i="32"/>
  <c r="E58" i="32"/>
  <c r="D50" i="32"/>
  <c r="C50" i="32"/>
  <c r="E50" i="32"/>
  <c r="E35" i="38"/>
  <c r="D35" i="38"/>
  <c r="C35" i="38"/>
  <c r="E27" i="38"/>
  <c r="D27" i="38"/>
  <c r="C27" i="38"/>
  <c r="E19" i="38"/>
  <c r="D19" i="38"/>
  <c r="C19" i="38"/>
  <c r="E11" i="38"/>
  <c r="D11" i="38"/>
  <c r="C11" i="38"/>
  <c r="C80" i="38"/>
  <c r="D80" i="38"/>
  <c r="E80" i="38"/>
  <c r="E72" i="38"/>
  <c r="D72" i="38"/>
  <c r="C72" i="38"/>
  <c r="C64" i="38"/>
  <c r="D64" i="38"/>
  <c r="E64" i="38"/>
  <c r="E56" i="38"/>
  <c r="D56" i="38"/>
  <c r="C56" i="38"/>
  <c r="E14" i="24"/>
  <c r="C14" i="24"/>
  <c r="D14" i="24"/>
  <c r="E41" i="24"/>
  <c r="D41" i="24"/>
  <c r="C41" i="24"/>
  <c r="E21" i="26"/>
  <c r="D21" i="26"/>
  <c r="C21" i="26"/>
  <c r="E13" i="26"/>
  <c r="C13" i="26"/>
  <c r="D13" i="26"/>
  <c r="D42" i="26"/>
  <c r="C42" i="26"/>
  <c r="E42" i="26"/>
  <c r="D15" i="30"/>
  <c r="E15" i="30"/>
  <c r="C15" i="30"/>
  <c r="E29" i="30"/>
  <c r="D29" i="30"/>
  <c r="C29" i="30"/>
  <c r="E21" i="39"/>
  <c r="C21" i="39"/>
  <c r="D21" i="39"/>
  <c r="E13" i="39"/>
  <c r="C13" i="39"/>
  <c r="D13" i="39"/>
  <c r="C33" i="39"/>
  <c r="E33" i="39"/>
  <c r="D33" i="39"/>
  <c r="C25" i="39"/>
  <c r="E25" i="39"/>
  <c r="D25" i="39"/>
  <c r="E16" i="36"/>
  <c r="D16" i="36"/>
  <c r="C16" i="36"/>
  <c r="D23" i="36"/>
  <c r="C23" i="36"/>
  <c r="E23" i="36"/>
  <c r="D23" i="33"/>
  <c r="E23" i="33"/>
  <c r="C23" i="33"/>
  <c r="C15" i="33"/>
  <c r="E15" i="33"/>
  <c r="D15" i="33"/>
  <c r="E41" i="33"/>
  <c r="C41" i="33"/>
  <c r="D41" i="33"/>
  <c r="E33" i="33"/>
  <c r="C33" i="33"/>
  <c r="D33" i="33"/>
  <c r="E14" i="28"/>
  <c r="C14" i="28"/>
  <c r="D14" i="28"/>
  <c r="C28" i="28"/>
  <c r="E28" i="28"/>
  <c r="D28" i="28"/>
  <c r="D31" i="28"/>
  <c r="E31" i="28"/>
  <c r="C31" i="28"/>
  <c r="D19" i="27"/>
  <c r="C19" i="27"/>
  <c r="E19" i="27"/>
  <c r="D11" i="27"/>
  <c r="C11" i="27"/>
  <c r="E11" i="27"/>
  <c r="D45" i="27"/>
  <c r="E45" i="27"/>
  <c r="C45" i="27"/>
  <c r="C17" i="22"/>
  <c r="D17" i="22"/>
  <c r="E17" i="22"/>
  <c r="E35" i="22"/>
  <c r="C35" i="22"/>
  <c r="D35" i="22"/>
  <c r="C19" i="21"/>
  <c r="D19" i="21"/>
  <c r="E19" i="21"/>
  <c r="E33" i="21"/>
  <c r="D33" i="21"/>
  <c r="C30" i="21" s="1"/>
  <c r="C33" i="21"/>
  <c r="D35" i="21"/>
  <c r="C35" i="21"/>
  <c r="E35" i="21"/>
  <c r="D17" i="29"/>
  <c r="E17" i="29"/>
  <c r="C17" i="29"/>
  <c r="C44" i="29"/>
  <c r="E44" i="29"/>
  <c r="D44" i="29"/>
  <c r="C36" i="29"/>
  <c r="E36" i="29"/>
  <c r="D36" i="29"/>
  <c r="C13" i="35"/>
  <c r="D13" i="35"/>
  <c r="E13" i="35"/>
  <c r="D25" i="35"/>
  <c r="C25" i="35"/>
  <c r="E25" i="35"/>
  <c r="E15" i="34"/>
  <c r="C15" i="34"/>
  <c r="D15" i="34"/>
  <c r="D21" i="34"/>
  <c r="C21" i="34"/>
  <c r="E21" i="34"/>
  <c r="E15" i="31"/>
  <c r="D15" i="31"/>
  <c r="C15" i="31"/>
  <c r="C36" i="31"/>
  <c r="D36" i="31"/>
  <c r="E36" i="31"/>
  <c r="C20" i="41"/>
  <c r="C53" i="41"/>
  <c r="D46" i="41"/>
  <c r="E13" i="41"/>
  <c r="C10" i="18"/>
  <c r="D9" i="36"/>
  <c r="E23" i="41"/>
  <c r="D23" i="41"/>
  <c r="E15" i="41"/>
  <c r="D15" i="41"/>
  <c r="E51" i="41"/>
  <c r="C51" i="41"/>
  <c r="E43" i="41"/>
  <c r="C43" i="41"/>
  <c r="E66" i="25"/>
  <c r="C66" i="25"/>
  <c r="D66" i="25"/>
  <c r="E58" i="25"/>
  <c r="C58" i="25"/>
  <c r="D58" i="25"/>
  <c r="D50" i="25"/>
  <c r="E50" i="25"/>
  <c r="C50" i="25"/>
  <c r="C26" i="42"/>
  <c r="D26" i="42"/>
  <c r="E26" i="42"/>
  <c r="E18" i="42"/>
  <c r="C18" i="42"/>
  <c r="D18" i="42"/>
  <c r="E48" i="42"/>
  <c r="D48" i="42"/>
  <c r="C48" i="42"/>
  <c r="E40" i="42"/>
  <c r="D40" i="42"/>
  <c r="C40" i="42"/>
  <c r="C23" i="18"/>
  <c r="D23" i="18"/>
  <c r="E23" i="18"/>
  <c r="C15" i="18"/>
  <c r="E15" i="18"/>
  <c r="D15" i="18"/>
  <c r="C41" i="18"/>
  <c r="D41" i="18"/>
  <c r="E41" i="18"/>
  <c r="C33" i="18"/>
  <c r="D33" i="18"/>
  <c r="E33" i="18"/>
  <c r="E73" i="18"/>
  <c r="C73" i="18"/>
  <c r="D73" i="18"/>
  <c r="C65" i="18"/>
  <c r="E65" i="18"/>
  <c r="D65" i="18"/>
  <c r="E93" i="18"/>
  <c r="C93" i="18"/>
  <c r="D93" i="18"/>
  <c r="C85" i="18"/>
  <c r="D85" i="18"/>
  <c r="E85" i="18"/>
  <c r="C29" i="32"/>
  <c r="D29" i="32"/>
  <c r="E29" i="32"/>
  <c r="C21" i="32"/>
  <c r="D21" i="32"/>
  <c r="E21" i="32"/>
  <c r="E13" i="32"/>
  <c r="C13" i="32"/>
  <c r="D13" i="32"/>
  <c r="C57" i="32"/>
  <c r="D57" i="32"/>
  <c r="E57" i="32"/>
  <c r="C49" i="32"/>
  <c r="D49" i="32"/>
  <c r="E49" i="32"/>
  <c r="C42" i="38"/>
  <c r="D42" i="38"/>
  <c r="E42" i="38"/>
  <c r="E34" i="38"/>
  <c r="C34" i="38"/>
  <c r="D34" i="38"/>
  <c r="D26" i="38"/>
  <c r="E26" i="38"/>
  <c r="C26" i="38"/>
  <c r="E18" i="38"/>
  <c r="C18" i="38"/>
  <c r="D18" i="38"/>
  <c r="C54" i="38"/>
  <c r="E54" i="38"/>
  <c r="E79" i="38"/>
  <c r="D79" i="38"/>
  <c r="C79" i="38"/>
  <c r="E71" i="38"/>
  <c r="D71" i="38"/>
  <c r="C71" i="38"/>
  <c r="E63" i="38"/>
  <c r="D63" i="38"/>
  <c r="C63" i="38"/>
  <c r="E55" i="38"/>
  <c r="D55" i="38"/>
  <c r="C55" i="38"/>
  <c r="C13" i="24"/>
  <c r="E13" i="24"/>
  <c r="D13" i="24"/>
  <c r="D40" i="24"/>
  <c r="E40" i="24"/>
  <c r="C40" i="24"/>
  <c r="E20" i="26"/>
  <c r="C20" i="26"/>
  <c r="D20" i="26"/>
  <c r="E12" i="26"/>
  <c r="D12" i="26"/>
  <c r="C12" i="26"/>
  <c r="D41" i="26"/>
  <c r="C41" i="26"/>
  <c r="E41" i="26"/>
  <c r="E22" i="30"/>
  <c r="C22" i="30"/>
  <c r="D22" i="30"/>
  <c r="E14" i="30"/>
  <c r="C14" i="30"/>
  <c r="D14" i="30"/>
  <c r="E36" i="30"/>
  <c r="C36" i="30"/>
  <c r="D36" i="30"/>
  <c r="C28" i="30"/>
  <c r="D28" i="30"/>
  <c r="E28" i="30"/>
  <c r="C20" i="39"/>
  <c r="D20" i="39"/>
  <c r="E20" i="39"/>
  <c r="E12" i="39"/>
  <c r="C12" i="39"/>
  <c r="D12" i="39"/>
  <c r="E32" i="39"/>
  <c r="D32" i="39"/>
  <c r="C32" i="39"/>
  <c r="C24" i="39"/>
  <c r="E24" i="39"/>
  <c r="D24" i="39"/>
  <c r="E15" i="36"/>
  <c r="C15" i="36"/>
  <c r="D15" i="36"/>
  <c r="C22" i="36"/>
  <c r="E22" i="36"/>
  <c r="D22" i="36"/>
  <c r="D22" i="33"/>
  <c r="E22" i="33"/>
  <c r="C22" i="33"/>
  <c r="C14" i="33"/>
  <c r="D14" i="33"/>
  <c r="E14" i="33"/>
  <c r="C40" i="33"/>
  <c r="E40" i="33"/>
  <c r="D40" i="33"/>
  <c r="E32" i="33"/>
  <c r="C32" i="33"/>
  <c r="D32" i="33"/>
  <c r="E13" i="28"/>
  <c r="D13" i="28"/>
  <c r="C13" i="28"/>
  <c r="E27" i="28"/>
  <c r="D27" i="28"/>
  <c r="C27" i="28"/>
  <c r="E10" i="27"/>
  <c r="D10" i="27"/>
  <c r="C7" i="27" s="1"/>
  <c r="C10" i="27"/>
  <c r="D18" i="27"/>
  <c r="E18" i="27"/>
  <c r="C18" i="27"/>
  <c r="E38" i="27"/>
  <c r="D38" i="27"/>
  <c r="C35" i="27" s="1"/>
  <c r="C38" i="27"/>
  <c r="D44" i="27"/>
  <c r="E44" i="27"/>
  <c r="C44" i="27"/>
  <c r="C16" i="22"/>
  <c r="D16" i="22"/>
  <c r="E16" i="22"/>
  <c r="E34" i="22"/>
  <c r="C34" i="22"/>
  <c r="D34" i="22"/>
  <c r="C18" i="21"/>
  <c r="E18" i="21"/>
  <c r="D18" i="21"/>
  <c r="E42" i="21"/>
  <c r="C42" i="21"/>
  <c r="D42" i="21"/>
  <c r="E34" i="21"/>
  <c r="C34" i="21"/>
  <c r="D34" i="21"/>
  <c r="D16" i="29"/>
  <c r="C16" i="29"/>
  <c r="E16" i="29"/>
  <c r="C43" i="29"/>
  <c r="E43" i="29"/>
  <c r="D43" i="29"/>
  <c r="C35" i="29"/>
  <c r="E35" i="29"/>
  <c r="D35" i="29"/>
  <c r="C12" i="35"/>
  <c r="E12" i="35"/>
  <c r="D12" i="35"/>
  <c r="E24" i="35"/>
  <c r="D24" i="35"/>
  <c r="C24" i="35"/>
  <c r="C14" i="34"/>
  <c r="E14" i="34"/>
  <c r="D14" i="34"/>
  <c r="D20" i="34"/>
  <c r="C20" i="34"/>
  <c r="E20" i="34"/>
  <c r="E14" i="31"/>
  <c r="D14" i="31"/>
  <c r="C14" i="31"/>
  <c r="D35" i="31"/>
  <c r="E35" i="31"/>
  <c r="C35" i="31"/>
  <c r="C15" i="41"/>
  <c r="D21" i="41"/>
  <c r="D44" i="41"/>
  <c r="E52" i="41"/>
  <c r="D10" i="18"/>
  <c r="C7" i="18" s="1"/>
  <c r="C9" i="33"/>
  <c r="C39" i="42"/>
  <c r="C22" i="18"/>
  <c r="D22" i="18"/>
  <c r="E22" i="18"/>
  <c r="C14" i="18"/>
  <c r="D14" i="18"/>
  <c r="E14" i="18"/>
  <c r="D40" i="18"/>
  <c r="C40" i="18"/>
  <c r="E40" i="18"/>
  <c r="D32" i="18"/>
  <c r="E32" i="18"/>
  <c r="C32" i="18"/>
  <c r="E72" i="18"/>
  <c r="D72" i="18"/>
  <c r="C72" i="18"/>
  <c r="C64" i="18"/>
  <c r="E64" i="18"/>
  <c r="D64" i="18"/>
  <c r="E92" i="18"/>
  <c r="C92" i="18"/>
  <c r="D92" i="18"/>
  <c r="E84" i="18"/>
  <c r="C84" i="18"/>
  <c r="D84" i="18"/>
  <c r="C28" i="32"/>
  <c r="D28" i="32"/>
  <c r="E28" i="32"/>
  <c r="C20" i="32"/>
  <c r="D20" i="32"/>
  <c r="E20" i="32"/>
  <c r="E12" i="32"/>
  <c r="C12" i="32"/>
  <c r="D12" i="32"/>
  <c r="E56" i="32"/>
  <c r="C56" i="32"/>
  <c r="D56" i="32"/>
  <c r="D39" i="33"/>
  <c r="C39" i="33"/>
  <c r="E39" i="33"/>
  <c r="E31" i="33"/>
  <c r="C31" i="33"/>
  <c r="D31" i="33"/>
  <c r="D21" i="28"/>
  <c r="E21" i="28"/>
  <c r="C21" i="28"/>
  <c r="D12" i="28"/>
  <c r="E12" i="28"/>
  <c r="C12" i="28"/>
  <c r="E26" i="28"/>
  <c r="C26" i="28"/>
  <c r="D26" i="28"/>
  <c r="D17" i="27"/>
  <c r="E17" i="27"/>
  <c r="C17" i="27"/>
  <c r="E51" i="27"/>
  <c r="C51" i="27"/>
  <c r="D51" i="27"/>
  <c r="E43" i="27"/>
  <c r="C43" i="27"/>
  <c r="D43" i="27"/>
  <c r="D15" i="22"/>
  <c r="E15" i="22"/>
  <c r="C15" i="22"/>
  <c r="C33" i="22"/>
  <c r="E33" i="22"/>
  <c r="D33" i="22"/>
  <c r="E17" i="21"/>
  <c r="C17" i="21"/>
  <c r="D17" i="21"/>
  <c r="E41" i="21"/>
  <c r="D41" i="21"/>
  <c r="C41" i="21"/>
  <c r="C10" i="29"/>
  <c r="E10" i="29"/>
  <c r="C15" i="29"/>
  <c r="D15" i="29"/>
  <c r="E15" i="29"/>
  <c r="C14" i="41"/>
  <c r="D20" i="41"/>
  <c r="C47" i="41"/>
  <c r="D43" i="41"/>
  <c r="E50" i="41"/>
  <c r="C10" i="38"/>
  <c r="D9" i="33"/>
  <c r="E39" i="42"/>
  <c r="E11" i="24"/>
  <c r="C11" i="24"/>
  <c r="D11" i="24"/>
  <c r="C18" i="26"/>
  <c r="E18" i="26"/>
  <c r="D18" i="26"/>
  <c r="E35" i="26"/>
  <c r="C35" i="26"/>
  <c r="E39" i="26"/>
  <c r="D39" i="26"/>
  <c r="C39" i="26"/>
  <c r="E20" i="30"/>
  <c r="D20" i="30"/>
  <c r="C20" i="30"/>
  <c r="E12" i="30"/>
  <c r="C12" i="30"/>
  <c r="D12" i="30"/>
  <c r="C34" i="30"/>
  <c r="E34" i="30"/>
  <c r="D34" i="30"/>
  <c r="C26" i="30"/>
  <c r="E26" i="30"/>
  <c r="D26" i="30"/>
  <c r="E18" i="39"/>
  <c r="D18" i="39"/>
  <c r="C18" i="39"/>
  <c r="C10" i="39"/>
  <c r="E10" i="39"/>
  <c r="D10" i="39"/>
  <c r="E30" i="39"/>
  <c r="D30" i="39"/>
  <c r="C30" i="39"/>
  <c r="D13" i="36"/>
  <c r="E13" i="36"/>
  <c r="C13" i="36"/>
  <c r="E20" i="36"/>
  <c r="D20" i="36"/>
  <c r="C20" i="36"/>
  <c r="E20" i="33"/>
  <c r="D20" i="33"/>
  <c r="C20" i="33"/>
  <c r="D12" i="33"/>
  <c r="C12" i="33"/>
  <c r="E12" i="33"/>
  <c r="E38" i="33"/>
  <c r="D38" i="33"/>
  <c r="C38" i="33"/>
  <c r="E30" i="33"/>
  <c r="D30" i="33"/>
  <c r="C30" i="33"/>
  <c r="D19" i="28"/>
  <c r="E19" i="28"/>
  <c r="C19" i="28"/>
  <c r="D11" i="28"/>
  <c r="E11" i="28"/>
  <c r="C11" i="28"/>
  <c r="E25" i="28"/>
  <c r="D25" i="28"/>
  <c r="C25" i="28"/>
  <c r="E16" i="27"/>
  <c r="C16" i="27"/>
  <c r="D16" i="27"/>
  <c r="E50" i="27"/>
  <c r="C50" i="27"/>
  <c r="D50" i="27"/>
  <c r="E42" i="27"/>
  <c r="D42" i="27"/>
  <c r="C42" i="27"/>
  <c r="E14" i="22"/>
  <c r="C14" i="22"/>
  <c r="D14" i="22"/>
  <c r="C32" i="22"/>
  <c r="E32" i="22"/>
  <c r="D32" i="22"/>
  <c r="D16" i="21"/>
  <c r="E16" i="21"/>
  <c r="C16" i="21"/>
  <c r="E40" i="21"/>
  <c r="D40" i="21"/>
  <c r="C40" i="21"/>
  <c r="C14" i="29"/>
  <c r="E14" i="29"/>
  <c r="D14" i="29"/>
  <c r="E41" i="29"/>
  <c r="C41" i="29"/>
  <c r="D41" i="29"/>
  <c r="D10" i="35"/>
  <c r="C10" i="35"/>
  <c r="E10" i="35"/>
  <c r="E22" i="35"/>
  <c r="D22" i="35"/>
  <c r="C22" i="35"/>
  <c r="C12" i="34"/>
  <c r="E12" i="34"/>
  <c r="D12" i="34"/>
  <c r="E18" i="34"/>
  <c r="C18" i="34"/>
  <c r="D18" i="34"/>
  <c r="E12" i="31"/>
  <c r="D12" i="31"/>
  <c r="C12" i="31"/>
  <c r="C13" i="41"/>
  <c r="C46" i="41"/>
  <c r="E24" i="41"/>
  <c r="E49" i="41"/>
  <c r="E10" i="38"/>
  <c r="C10" i="22"/>
  <c r="E48" i="32"/>
  <c r="C48" i="32"/>
  <c r="D48" i="32"/>
  <c r="D41" i="38"/>
  <c r="C41" i="38"/>
  <c r="E41" i="38"/>
  <c r="C33" i="38"/>
  <c r="E33" i="38"/>
  <c r="D33" i="38"/>
  <c r="E25" i="38"/>
  <c r="C25" i="38"/>
  <c r="D25" i="38"/>
  <c r="D17" i="38"/>
  <c r="E17" i="38"/>
  <c r="C17" i="38"/>
  <c r="E86" i="38"/>
  <c r="D86" i="38"/>
  <c r="C86" i="38"/>
  <c r="E78" i="38"/>
  <c r="D78" i="38"/>
  <c r="C78" i="38"/>
  <c r="E70" i="38"/>
  <c r="D70" i="38"/>
  <c r="C70" i="38"/>
  <c r="E62" i="38"/>
  <c r="D62" i="38"/>
  <c r="C62" i="38"/>
  <c r="E10" i="24"/>
  <c r="D10" i="24"/>
  <c r="C7" i="24" s="1"/>
  <c r="C11" i="26"/>
  <c r="E11" i="26"/>
  <c r="D11" i="26"/>
  <c r="D38" i="24"/>
  <c r="C38" i="24"/>
  <c r="E38" i="24"/>
  <c r="C55" i="25"/>
  <c r="D55" i="25"/>
  <c r="E55" i="25"/>
  <c r="C53" i="42"/>
  <c r="E53" i="42"/>
  <c r="D53" i="42"/>
  <c r="E28" i="18"/>
  <c r="C28" i="18"/>
  <c r="D28" i="18"/>
  <c r="E12" i="18"/>
  <c r="D12" i="18"/>
  <c r="C12" i="18"/>
  <c r="E38" i="18"/>
  <c r="D38" i="18"/>
  <c r="C38" i="18"/>
  <c r="E70" i="18"/>
  <c r="D70" i="18"/>
  <c r="C70" i="18"/>
  <c r="D90" i="18"/>
  <c r="C90" i="18"/>
  <c r="E90" i="18"/>
  <c r="D54" i="32"/>
  <c r="E54" i="32"/>
  <c r="C54" i="32"/>
  <c r="D23" i="38"/>
  <c r="C23" i="38"/>
  <c r="E23" i="38"/>
  <c r="E46" i="26"/>
  <c r="C46" i="26"/>
  <c r="D46" i="26"/>
  <c r="E19" i="30"/>
  <c r="D19" i="30"/>
  <c r="C19" i="30"/>
  <c r="C11" i="30"/>
  <c r="D11" i="30"/>
  <c r="E11" i="30"/>
  <c r="C25" i="30"/>
  <c r="E25" i="30"/>
  <c r="D25" i="30"/>
  <c r="E17" i="39"/>
  <c r="D17" i="39"/>
  <c r="C17" i="39"/>
  <c r="C29" i="39"/>
  <c r="D29" i="39"/>
  <c r="E29" i="39"/>
  <c r="E27" i="36"/>
  <c r="D27" i="36"/>
  <c r="C27" i="36"/>
  <c r="E40" i="29"/>
  <c r="D40" i="29"/>
  <c r="C40" i="29"/>
  <c r="E17" i="35"/>
  <c r="C17" i="35"/>
  <c r="D17" i="35"/>
  <c r="E19" i="35"/>
  <c r="D19" i="35"/>
  <c r="C19" i="35"/>
  <c r="D21" i="35"/>
  <c r="E21" i="35"/>
  <c r="C21" i="35"/>
  <c r="C11" i="34"/>
  <c r="D11" i="34"/>
  <c r="E11" i="34"/>
  <c r="E17" i="34"/>
  <c r="D17" i="34"/>
  <c r="C17" i="34"/>
  <c r="E11" i="31"/>
  <c r="D11" i="31"/>
  <c r="C11" i="31"/>
  <c r="E32" i="31"/>
  <c r="C32" i="31"/>
  <c r="D32" i="31"/>
  <c r="C12" i="41"/>
  <c r="D18" i="41"/>
  <c r="C45" i="41"/>
  <c r="E22" i="41"/>
  <c r="E44" i="41"/>
  <c r="C10" i="24"/>
  <c r="E10" i="22"/>
  <c r="D54" i="38"/>
  <c r="C51" i="38" s="1"/>
  <c r="C54" i="42"/>
  <c r="E54" i="42"/>
  <c r="D54" i="42"/>
  <c r="C29" i="18"/>
  <c r="E29" i="18"/>
  <c r="D29" i="18"/>
  <c r="C13" i="18"/>
  <c r="E13" i="18"/>
  <c r="D13" i="18"/>
  <c r="E45" i="18"/>
  <c r="D45" i="18"/>
  <c r="C45" i="18"/>
  <c r="C91" i="18"/>
  <c r="D91" i="18"/>
  <c r="E91" i="18"/>
  <c r="D27" i="32"/>
  <c r="C27" i="32"/>
  <c r="E27" i="32"/>
  <c r="D19" i="32"/>
  <c r="C19" i="32"/>
  <c r="E19" i="32"/>
  <c r="D11" i="32"/>
  <c r="C11" i="32"/>
  <c r="E11" i="32"/>
  <c r="C47" i="32"/>
  <c r="D47" i="32"/>
  <c r="E47" i="32"/>
  <c r="E40" i="38"/>
  <c r="D40" i="38"/>
  <c r="C40" i="38"/>
  <c r="D32" i="38"/>
  <c r="E32" i="38"/>
  <c r="C32" i="38"/>
  <c r="C24" i="38"/>
  <c r="D24" i="38"/>
  <c r="E24" i="38"/>
  <c r="E16" i="38"/>
  <c r="C16" i="38"/>
  <c r="D16" i="38"/>
  <c r="E85" i="38"/>
  <c r="D85" i="38"/>
  <c r="C85" i="38"/>
  <c r="E77" i="38"/>
  <c r="D77" i="38"/>
  <c r="C77" i="38"/>
  <c r="E69" i="38"/>
  <c r="D69" i="38"/>
  <c r="C69" i="38"/>
  <c r="E19" i="24"/>
  <c r="C19" i="24"/>
  <c r="D19" i="24"/>
  <c r="D48" i="41"/>
  <c r="E48" i="41"/>
  <c r="D40" i="41"/>
  <c r="E40" i="41"/>
  <c r="C63" i="25"/>
  <c r="D63" i="25"/>
  <c r="E63" i="25"/>
  <c r="E47" i="25"/>
  <c r="C47" i="25"/>
  <c r="D47" i="25"/>
  <c r="E23" i="42"/>
  <c r="C23" i="42"/>
  <c r="D23" i="42"/>
  <c r="E15" i="42"/>
  <c r="C15" i="42"/>
  <c r="D15" i="42"/>
  <c r="C45" i="42"/>
  <c r="E45" i="42"/>
  <c r="D45" i="42"/>
  <c r="E20" i="18"/>
  <c r="C20" i="18"/>
  <c r="D20" i="18"/>
  <c r="E44" i="18"/>
  <c r="D44" i="18"/>
  <c r="C44" i="18"/>
  <c r="E62" i="18"/>
  <c r="D62" i="18"/>
  <c r="C62" i="18"/>
  <c r="D82" i="18"/>
  <c r="E82" i="18"/>
  <c r="C82" i="18"/>
  <c r="D26" i="32"/>
  <c r="E26" i="32"/>
  <c r="C26" i="32"/>
  <c r="C18" i="32"/>
  <c r="D18" i="32"/>
  <c r="E18" i="32"/>
  <c r="D42" i="32"/>
  <c r="C39" i="32" s="1"/>
  <c r="C42" i="32"/>
  <c r="C46" i="32"/>
  <c r="D46" i="32"/>
  <c r="E46" i="32"/>
  <c r="D39" i="38"/>
  <c r="C39" i="38"/>
  <c r="E39" i="38"/>
  <c r="E31" i="38"/>
  <c r="D31" i="38"/>
  <c r="C31" i="38"/>
  <c r="E15" i="38"/>
  <c r="C15" i="38"/>
  <c r="D15" i="38"/>
  <c r="E84" i="38"/>
  <c r="D84" i="38"/>
  <c r="C84" i="38"/>
  <c r="C76" i="38"/>
  <c r="E76" i="38"/>
  <c r="D76" i="38"/>
  <c r="E68" i="38"/>
  <c r="D68" i="38"/>
  <c r="C68" i="38"/>
  <c r="E19" i="33"/>
  <c r="C19" i="33"/>
  <c r="D19" i="33"/>
  <c r="E11" i="33"/>
  <c r="D11" i="33"/>
  <c r="C11" i="33"/>
  <c r="E37" i="33"/>
  <c r="D37" i="33"/>
  <c r="C37" i="33"/>
  <c r="E29" i="33"/>
  <c r="D29" i="33"/>
  <c r="C29" i="33"/>
  <c r="E18" i="28"/>
  <c r="C18" i="28"/>
  <c r="D18" i="28"/>
  <c r="D10" i="28"/>
  <c r="C10" i="28"/>
  <c r="E10" i="28"/>
  <c r="D24" i="28"/>
  <c r="E24" i="28"/>
  <c r="C24" i="28"/>
  <c r="E23" i="27"/>
  <c r="C23" i="27"/>
  <c r="D23" i="27"/>
  <c r="C49" i="27"/>
  <c r="E49" i="27"/>
  <c r="D49" i="27"/>
  <c r="C41" i="27"/>
  <c r="D41" i="27"/>
  <c r="E41" i="27"/>
  <c r="E13" i="22"/>
  <c r="C13" i="22"/>
  <c r="D13" i="22"/>
  <c r="D31" i="22"/>
  <c r="C31" i="22"/>
  <c r="E31" i="22"/>
  <c r="E15" i="21"/>
  <c r="C15" i="21"/>
  <c r="D15" i="21"/>
  <c r="D39" i="21"/>
  <c r="C39" i="21"/>
  <c r="E39" i="21"/>
  <c r="C13" i="29"/>
  <c r="D13" i="29"/>
  <c r="E13" i="29"/>
  <c r="E19" i="41"/>
  <c r="C19" i="41"/>
  <c r="D62" i="25"/>
  <c r="E62" i="25"/>
  <c r="C62" i="25"/>
  <c r="C54" i="25"/>
  <c r="D54" i="25"/>
  <c r="E54" i="25"/>
  <c r="C46" i="25"/>
  <c r="D46" i="25"/>
  <c r="E46" i="25"/>
  <c r="E22" i="42"/>
  <c r="C22" i="42"/>
  <c r="D22" i="42"/>
  <c r="E14" i="42"/>
  <c r="C14" i="42"/>
  <c r="D14" i="42"/>
  <c r="E52" i="42"/>
  <c r="C52" i="42"/>
  <c r="D52" i="42"/>
  <c r="E44" i="42"/>
  <c r="C44" i="42"/>
  <c r="D44" i="42"/>
  <c r="E27" i="18"/>
  <c r="C27" i="18"/>
  <c r="D27" i="18"/>
  <c r="E19" i="18"/>
  <c r="C19" i="18"/>
  <c r="D19" i="18"/>
  <c r="E11" i="18"/>
  <c r="D11" i="18"/>
  <c r="C11" i="18"/>
  <c r="E37" i="18"/>
  <c r="D37" i="18"/>
  <c r="C37" i="18"/>
  <c r="E58" i="18"/>
  <c r="D58" i="18"/>
  <c r="C55" i="18" s="1"/>
  <c r="C58" i="18"/>
  <c r="E69" i="18"/>
  <c r="D69" i="18"/>
  <c r="C69" i="18"/>
  <c r="E61" i="18"/>
  <c r="D61" i="18"/>
  <c r="C61" i="18"/>
  <c r="E89" i="18"/>
  <c r="C89" i="18"/>
  <c r="D89" i="18"/>
  <c r="E81" i="18"/>
  <c r="C81" i="18"/>
  <c r="D81" i="18"/>
  <c r="E25" i="32"/>
  <c r="D25" i="32"/>
  <c r="C25" i="32"/>
  <c r="E17" i="32"/>
  <c r="C17" i="32"/>
  <c r="D17" i="32"/>
  <c r="E61" i="32"/>
  <c r="D61" i="32"/>
  <c r="C61" i="32"/>
  <c r="E53" i="32"/>
  <c r="D53" i="32"/>
  <c r="C53" i="32"/>
  <c r="E45" i="32"/>
  <c r="D45" i="32"/>
  <c r="C45" i="32"/>
  <c r="C38" i="38"/>
  <c r="D38" i="38"/>
  <c r="E38" i="38"/>
  <c r="C30" i="38"/>
  <c r="D30" i="38"/>
  <c r="E30" i="38"/>
  <c r="E22" i="38"/>
  <c r="C22" i="38"/>
  <c r="D22" i="38"/>
  <c r="D14" i="38"/>
  <c r="E14" i="38"/>
  <c r="C14" i="38"/>
  <c r="E83" i="38"/>
  <c r="D83" i="38"/>
  <c r="C83" i="38"/>
  <c r="C75" i="38"/>
  <c r="E75" i="38"/>
  <c r="D75" i="38"/>
  <c r="E67" i="38"/>
  <c r="D67" i="38"/>
  <c r="C67" i="38"/>
  <c r="E59" i="38"/>
  <c r="D59" i="38"/>
  <c r="C59" i="38"/>
  <c r="E17" i="24"/>
  <c r="D17" i="24"/>
  <c r="C17" i="24"/>
  <c r="D44" i="24"/>
  <c r="E44" i="24"/>
  <c r="C44" i="24"/>
  <c r="D36" i="24"/>
  <c r="E36" i="24"/>
  <c r="C36" i="24"/>
  <c r="D16" i="26"/>
  <c r="E16" i="26"/>
  <c r="C16" i="26"/>
  <c r="C45" i="26"/>
  <c r="D45" i="26"/>
  <c r="E45" i="26"/>
  <c r="C37" i="26"/>
  <c r="E37" i="26"/>
  <c r="D37" i="26"/>
  <c r="C18" i="30"/>
  <c r="D18" i="30"/>
  <c r="E18" i="30"/>
  <c r="C23" i="41"/>
  <c r="C40" i="41"/>
  <c r="E42" i="41"/>
  <c r="E10" i="26"/>
  <c r="E11" i="21"/>
  <c r="D35" i="26"/>
  <c r="C32" i="26" s="1"/>
  <c r="D10" i="31"/>
  <c r="C7" i="31" s="1"/>
  <c r="E42" i="29"/>
  <c r="D42" i="29"/>
  <c r="C42" i="29"/>
  <c r="E11" i="35"/>
  <c r="C11" i="35"/>
  <c r="D11" i="35"/>
  <c r="E23" i="35"/>
  <c r="D23" i="35"/>
  <c r="C23" i="35"/>
  <c r="D13" i="34"/>
  <c r="E13" i="34"/>
  <c r="C13" i="34"/>
  <c r="E19" i="34"/>
  <c r="D19" i="34"/>
  <c r="C19" i="34"/>
  <c r="E13" i="31"/>
  <c r="D13" i="31"/>
  <c r="C13" i="31"/>
  <c r="D34" i="31"/>
  <c r="E34" i="31"/>
  <c r="C34" i="31"/>
  <c r="C9" i="35"/>
  <c r="E33" i="31"/>
  <c r="D33" i="31"/>
  <c r="C33" i="31"/>
  <c r="D9" i="35"/>
  <c r="C22" i="28"/>
  <c r="C10" i="30"/>
  <c r="E10" i="30"/>
  <c r="D10" i="30"/>
  <c r="D32" i="30"/>
  <c r="E32" i="30"/>
  <c r="C32" i="30"/>
  <c r="E24" i="30"/>
  <c r="D24" i="30"/>
  <c r="C24" i="30"/>
  <c r="D16" i="39"/>
  <c r="C16" i="39"/>
  <c r="E16" i="39"/>
  <c r="E36" i="39"/>
  <c r="D36" i="39"/>
  <c r="C36" i="39"/>
  <c r="D28" i="39"/>
  <c r="E28" i="39"/>
  <c r="C11" i="36"/>
  <c r="E11" i="36"/>
  <c r="D11" i="36"/>
  <c r="E26" i="36"/>
  <c r="D26" i="36"/>
  <c r="C26" i="36"/>
  <c r="E18" i="33"/>
  <c r="D18" i="33"/>
  <c r="C18" i="33"/>
  <c r="E10" i="33"/>
  <c r="D10" i="33"/>
  <c r="C10" i="33"/>
  <c r="D36" i="33"/>
  <c r="E36" i="33"/>
  <c r="C36" i="33"/>
  <c r="E28" i="33"/>
  <c r="D28" i="33"/>
  <c r="C17" i="28"/>
  <c r="E17" i="28"/>
  <c r="D17" i="28"/>
  <c r="D23" i="28"/>
  <c r="E23" i="28"/>
  <c r="C23" i="28"/>
  <c r="E22" i="27"/>
  <c r="C22" i="27"/>
  <c r="D22" i="27"/>
  <c r="E14" i="27"/>
  <c r="C14" i="27"/>
  <c r="D14" i="27"/>
  <c r="C48" i="27"/>
  <c r="D48" i="27"/>
  <c r="E48" i="27"/>
  <c r="C40" i="27"/>
  <c r="D40" i="27"/>
  <c r="E40" i="27"/>
  <c r="C12" i="22"/>
  <c r="E12" i="22"/>
  <c r="D12" i="22"/>
  <c r="D30" i="22"/>
  <c r="C30" i="22"/>
  <c r="E30" i="22"/>
  <c r="E14" i="21"/>
  <c r="D14" i="21"/>
  <c r="C14" i="21"/>
  <c r="C38" i="21"/>
  <c r="D38" i="21"/>
  <c r="E38" i="21"/>
  <c r="E20" i="29"/>
  <c r="D20" i="29"/>
  <c r="C20" i="29"/>
  <c r="E12" i="29"/>
  <c r="D12" i="29"/>
  <c r="C12" i="29"/>
  <c r="D39" i="29"/>
  <c r="E39" i="29"/>
  <c r="C39" i="29"/>
  <c r="E16" i="35"/>
  <c r="D16" i="35"/>
  <c r="C16" i="35"/>
  <c r="C28" i="35"/>
  <c r="D28" i="35"/>
  <c r="E28" i="35"/>
  <c r="C20" i="35"/>
  <c r="D20" i="35"/>
  <c r="E20" i="35"/>
  <c r="C10" i="34"/>
  <c r="D10" i="34"/>
  <c r="E10" i="34"/>
  <c r="E18" i="31"/>
  <c r="D18" i="31"/>
  <c r="C18" i="31"/>
  <c r="C28" i="39"/>
  <c r="C39" i="41"/>
  <c r="D10" i="41"/>
  <c r="C7" i="41" s="1"/>
</calcChain>
</file>

<file path=xl/sharedStrings.xml><?xml version="1.0" encoding="utf-8"?>
<sst xmlns="http://schemas.openxmlformats.org/spreadsheetml/2006/main" count="2338" uniqueCount="500">
  <si>
    <t>Attendance Sheet</t>
  </si>
  <si>
    <t xml:space="preserve">S.No. </t>
  </si>
  <si>
    <t>Name of student</t>
  </si>
  <si>
    <t xml:space="preserve">Enrollment No. </t>
  </si>
  <si>
    <t>Password</t>
  </si>
  <si>
    <t>Signature</t>
  </si>
  <si>
    <t xml:space="preserve">Lab Name: Mathematics and Computing Lab
</t>
  </si>
  <si>
    <t xml:space="preserve">Lab Name: HPC Lab
</t>
  </si>
  <si>
    <t xml:space="preserve">Lab Name: Electronics Department Computer Lab
</t>
  </si>
  <si>
    <t xml:space="preserve">Lab Name: Code Lab (New Building Third Floor)
</t>
  </si>
  <si>
    <t xml:space="preserve">Lab Name: Electrical Engineering-Computer Lab-2
</t>
  </si>
  <si>
    <t xml:space="preserve">Lab Name: PL-1 Lab (Ground Floor CSE)
</t>
  </si>
  <si>
    <t xml:space="preserve">Lab Name: Computing Lab (Second Floor Architecture Building)
</t>
  </si>
  <si>
    <t xml:space="preserve">Lab Name: Data Science Lab-1 (Information Technology)
</t>
  </si>
  <si>
    <t xml:space="preserve">Lab Name: PL-2
</t>
  </si>
  <si>
    <t xml:space="preserve">Lab Name: M205 Lab (New Building)
</t>
  </si>
  <si>
    <t xml:space="preserve">Lab Name: CC-lab (Second Floor Architecture Building)
</t>
  </si>
  <si>
    <t xml:space="preserve">Lab Name: Electrical Engineering-Computer Lab-1
</t>
  </si>
  <si>
    <t>Seating</t>
  </si>
  <si>
    <t>Course code</t>
  </si>
  <si>
    <t>Major Evaluation (July-December 2025 Session)</t>
  </si>
  <si>
    <t>III semester</t>
  </si>
  <si>
    <t xml:space="preserve">                       Attendance Sheet</t>
  </si>
  <si>
    <t xml:space="preserve">                Lab Name: M104 Lab (New Building)
</t>
  </si>
  <si>
    <t xml:space="preserve">MADHAV INSTITUTE OF TECHNOLOGY &amp; SCIENCE, GWALIOR      </t>
  </si>
  <si>
    <t xml:space="preserve">(Deemed University)      </t>
  </si>
  <si>
    <t xml:space="preserve">    Lab Name: M203
</t>
  </si>
  <si>
    <t xml:space="preserve">Lab Name: Project Lab
</t>
  </si>
  <si>
    <t xml:space="preserve">Lab Name:  Architecture
</t>
  </si>
  <si>
    <t xml:space="preserve">                Lab Name: M005 Lab (New Building)
</t>
  </si>
  <si>
    <t xml:space="preserve">   Lab Name: Library
</t>
  </si>
  <si>
    <t xml:space="preserve">    Lab Name: Library
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</si>
  <si>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</si>
  <si>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</si>
  <si>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</si>
  <si>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</si>
  <si>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</si>
  <si>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</si>
  <si>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</si>
  <si>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</si>
  <si>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</si>
  <si>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</si>
  <si>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</si>
  <si>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</si>
  <si>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</si>
  <si>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</si>
  <si>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B6</t>
  </si>
  <si>
    <t>B1</t>
  </si>
  <si>
    <t>B2</t>
  </si>
  <si>
    <t>B3</t>
  </si>
  <si>
    <t>B4</t>
  </si>
  <si>
    <t>B5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</si>
  <si>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</si>
  <si>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</si>
  <si>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</si>
  <si>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</si>
  <si>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</si>
  <si>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</si>
  <si>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</si>
  <si>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</si>
  <si>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</si>
  <si>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</si>
  <si>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</si>
  <si>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</si>
  <si>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</si>
  <si>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</si>
  <si>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</si>
  <si>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</si>
  <si>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</si>
  <si>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</si>
  <si>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</si>
  <si>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</si>
  <si>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</si>
  <si>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</si>
  <si>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</si>
  <si>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</si>
  <si>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</si>
  <si>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</si>
  <si>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</si>
  <si>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</si>
  <si>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</si>
  <si>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</si>
  <si>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</si>
  <si>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</si>
  <si>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</si>
  <si>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</si>
  <si>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</si>
  <si>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</si>
  <si>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</si>
  <si>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</si>
  <si>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</si>
  <si>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</si>
  <si>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</si>
  <si>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</si>
  <si>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</si>
  <si>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</si>
  <si>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</si>
  <si>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</si>
  <si>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</si>
  <si>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</si>
  <si>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 xml:space="preserve">Lab Name: Lab 105
</t>
  </si>
  <si>
    <t xml:space="preserve">UG &amp; PG Third Semester Major Evaluation Timetable (July-December 2025) </t>
  </si>
  <si>
    <t xml:space="preserve"> Programme</t>
  </si>
  <si>
    <t>Course Code</t>
  </si>
  <si>
    <t>Course Title</t>
  </si>
  <si>
    <t>Mode of Exam</t>
  </si>
  <si>
    <t>Date</t>
  </si>
  <si>
    <t>Present</t>
  </si>
  <si>
    <t>Absent</t>
  </si>
  <si>
    <t>A35</t>
  </si>
  <si>
    <t>B35</t>
  </si>
  <si>
    <t>Course Name: Electronic Devices and Circuits</t>
  </si>
  <si>
    <t>Course Name: Control System</t>
  </si>
  <si>
    <t xml:space="preserve">S. No. </t>
  </si>
  <si>
    <t xml:space="preserve">Lab Name: Programming Lab (IT)
</t>
  </si>
  <si>
    <t xml:space="preserve">    </t>
  </si>
  <si>
    <t>MCQ Exam November-December 2025</t>
  </si>
  <si>
    <t>Seating Plan</t>
  </si>
  <si>
    <t>Date of Examination</t>
  </si>
  <si>
    <t>Time</t>
  </si>
  <si>
    <t>Electrical Engineering</t>
  </si>
  <si>
    <t>Computer Lab 2</t>
  </si>
  <si>
    <t>Code A:</t>
  </si>
  <si>
    <t>Code B:</t>
  </si>
  <si>
    <t>Computer Lab 1</t>
  </si>
  <si>
    <t>Information Technology</t>
  </si>
  <si>
    <t>Data Science Lab-1</t>
  </si>
  <si>
    <t>Computing Lab</t>
  </si>
  <si>
    <t>Centre for AI</t>
  </si>
  <si>
    <t>Lab 203</t>
  </si>
  <si>
    <t>Lab 104</t>
  </si>
  <si>
    <t>Lab 205</t>
  </si>
  <si>
    <t>Lab 105</t>
  </si>
  <si>
    <t>CSE</t>
  </si>
  <si>
    <t>PL-5</t>
  </si>
  <si>
    <t>Project Lab</t>
  </si>
  <si>
    <t>Centre for IOT</t>
  </si>
  <si>
    <t>Lab M005</t>
  </si>
  <si>
    <t>Centre for CST</t>
  </si>
  <si>
    <t>CoDe Lab</t>
  </si>
  <si>
    <t>HPC Lab</t>
  </si>
  <si>
    <t>PL-1</t>
  </si>
  <si>
    <t>Cloud Computing Lab</t>
  </si>
  <si>
    <t>PL-4</t>
  </si>
  <si>
    <t>Electronics Engineering</t>
  </si>
  <si>
    <t>Computer Lab1</t>
  </si>
  <si>
    <t>Mathematics &amp; Computing</t>
  </si>
  <si>
    <t>Computer Lab</t>
  </si>
  <si>
    <t>PL-3</t>
  </si>
  <si>
    <t>PL-2</t>
  </si>
  <si>
    <t>Architectutre</t>
  </si>
  <si>
    <t>Library</t>
  </si>
  <si>
    <t>Lab 302</t>
  </si>
  <si>
    <t xml:space="preserve">BTME24O1043 </t>
  </si>
  <si>
    <t>PIYUSH SHARMA</t>
  </si>
  <si>
    <t>SHRUTI TIWARI</t>
  </si>
  <si>
    <t>Course Name:</t>
  </si>
  <si>
    <t xml:space="preserve">Course Name: </t>
  </si>
  <si>
    <t>SNo.</t>
  </si>
  <si>
    <t>Enrollment</t>
  </si>
  <si>
    <t>Student Name</t>
  </si>
  <si>
    <t>Code</t>
  </si>
  <si>
    <t>Continuous Quiz-II (Jan-June 2026)</t>
  </si>
  <si>
    <t>Program: B.Tech( Computer Science and Engineering)</t>
  </si>
  <si>
    <t>Semester: II semester</t>
  </si>
  <si>
    <t>Program: B.Tech (Computer Science and Engineering)</t>
  </si>
  <si>
    <t xml:space="preserve">Lab Name: PL-4 (CSE)
</t>
  </si>
  <si>
    <t xml:space="preserve">Lab Name: PL-5 (Ground Floor CSE)
</t>
  </si>
  <si>
    <t xml:space="preserve">MADHAV INSTITUTE OF TECHNOLOGY &amp; SCIENCE, GWALIOR 
(Deemed University)        </t>
  </si>
  <si>
    <t>Department of Computer Science and Engineering</t>
  </si>
  <si>
    <t xml:space="preserve">Total Present: </t>
  </si>
  <si>
    <t>Total Absent:</t>
  </si>
  <si>
    <t>Technical Staff Name &amp; Signature</t>
  </si>
  <si>
    <t>1. Invigilator Name &amp; Signature</t>
  </si>
  <si>
    <t>2. Invigilator Name &amp; Signature</t>
  </si>
  <si>
    <t>08.04.2026</t>
  </si>
  <si>
    <t>Shift:I (10:00 to 11:00 AM)</t>
  </si>
  <si>
    <t>IV Sem</t>
  </si>
  <si>
    <t xml:space="preserve">BTCS24O1002 </t>
  </si>
  <si>
    <t xml:space="preserve">BTCS24O1003 </t>
  </si>
  <si>
    <t xml:space="preserve">BTCS24O1004 </t>
  </si>
  <si>
    <t xml:space="preserve">BTCS24O1005 </t>
  </si>
  <si>
    <t xml:space="preserve">BTCS24O1006 </t>
  </si>
  <si>
    <t xml:space="preserve">BTCS24O1007 </t>
  </si>
  <si>
    <t xml:space="preserve">BTCS24O1009 </t>
  </si>
  <si>
    <t xml:space="preserve">BTCS24O1010 </t>
  </si>
  <si>
    <t xml:space="preserve">BTCS24O1011 </t>
  </si>
  <si>
    <t xml:space="preserve">BTCS24O1012 </t>
  </si>
  <si>
    <t xml:space="preserve">BTCS24O1013 </t>
  </si>
  <si>
    <t xml:space="preserve">BTCS24O1014 </t>
  </si>
  <si>
    <t xml:space="preserve">BTCS24O1015 </t>
  </si>
  <si>
    <t xml:space="preserve">BTCS24O1016 </t>
  </si>
  <si>
    <t xml:space="preserve">BTCS24O1017 </t>
  </si>
  <si>
    <t xml:space="preserve">BTCS24O1018 </t>
  </si>
  <si>
    <t xml:space="preserve">BTCS24O1019 </t>
  </si>
  <si>
    <t xml:space="preserve">BTCS24O1020 </t>
  </si>
  <si>
    <t xml:space="preserve">BTCS24O1021 </t>
  </si>
  <si>
    <t xml:space="preserve">BTCS24O1022 </t>
  </si>
  <si>
    <t xml:space="preserve">BTCS24O1023 </t>
  </si>
  <si>
    <t xml:space="preserve">BTCS24O1024 </t>
  </si>
  <si>
    <t xml:space="preserve">BTCS24O1025 </t>
  </si>
  <si>
    <t xml:space="preserve">BTCS24O1026 </t>
  </si>
  <si>
    <t xml:space="preserve">BTCS24O1027 </t>
  </si>
  <si>
    <t xml:space="preserve">BTCS24O1028 </t>
  </si>
  <si>
    <t xml:space="preserve">BTCS24O1029 </t>
  </si>
  <si>
    <t xml:space="preserve">BTCS24O1030 </t>
  </si>
  <si>
    <t xml:space="preserve">BTCS24O1031 </t>
  </si>
  <si>
    <t xml:space="preserve">BTCS24O1032 </t>
  </si>
  <si>
    <t xml:space="preserve">BTCS24O1033 </t>
  </si>
  <si>
    <t xml:space="preserve">BTCS24O1034 </t>
  </si>
  <si>
    <t xml:space="preserve">BTCS24O1035 </t>
  </si>
  <si>
    <t xml:space="preserve">BTCS24O1036 </t>
  </si>
  <si>
    <t xml:space="preserve">BTCS24O1037 </t>
  </si>
  <si>
    <t xml:space="preserve">BTCS24O1038 </t>
  </si>
  <si>
    <t xml:space="preserve">BTCS24O1039 </t>
  </si>
  <si>
    <t xml:space="preserve">BTCS24O1040 </t>
  </si>
  <si>
    <t xml:space="preserve">BTCS24O1042 </t>
  </si>
  <si>
    <t xml:space="preserve">BTCS24O1043 </t>
  </si>
  <si>
    <t xml:space="preserve">BTCS24O1044 </t>
  </si>
  <si>
    <t xml:space="preserve">BTCS24O1045 </t>
  </si>
  <si>
    <t xml:space="preserve">BTCS24O1046 </t>
  </si>
  <si>
    <t xml:space="preserve">BTCS24O1047 </t>
  </si>
  <si>
    <t xml:space="preserve">BTCS24O1048 </t>
  </si>
  <si>
    <t xml:space="preserve">BTCS24O1049 </t>
  </si>
  <si>
    <t xml:space="preserve">BTCS24O1050 </t>
  </si>
  <si>
    <t xml:space="preserve">BTCS24O1051 </t>
  </si>
  <si>
    <t xml:space="preserve">BTCS24O1052 </t>
  </si>
  <si>
    <t xml:space="preserve">BTCS24O1053 </t>
  </si>
  <si>
    <t xml:space="preserve">BTCS24O1054 </t>
  </si>
  <si>
    <t xml:space="preserve">BTCS24O1055 </t>
  </si>
  <si>
    <t xml:space="preserve">BTCS24O1056 </t>
  </si>
  <si>
    <t xml:space="preserve">BTCS24O1057 </t>
  </si>
  <si>
    <t xml:space="preserve">BTCS24O1058 </t>
  </si>
  <si>
    <t xml:space="preserve">BTCS24O1059 </t>
  </si>
  <si>
    <t xml:space="preserve">BTCS24O1060 </t>
  </si>
  <si>
    <t xml:space="preserve">BTCS24O1061 </t>
  </si>
  <si>
    <t xml:space="preserve">BTCS24O1062 </t>
  </si>
  <si>
    <t xml:space="preserve">BTCS24O1063 </t>
  </si>
  <si>
    <t xml:space="preserve">BTCS24O1064 </t>
  </si>
  <si>
    <t xml:space="preserve">BTCS24O1065 </t>
  </si>
  <si>
    <t xml:space="preserve">BTCS24O1066 </t>
  </si>
  <si>
    <t xml:space="preserve">BTCS24O1067 </t>
  </si>
  <si>
    <t xml:space="preserve">BTCS24O1068 </t>
  </si>
  <si>
    <t xml:space="preserve">BTCS24O1069 </t>
  </si>
  <si>
    <t xml:space="preserve">BTCS24O1070 </t>
  </si>
  <si>
    <t xml:space="preserve">BTCS24O1071 </t>
  </si>
  <si>
    <t xml:space="preserve">BTCS24O1072 </t>
  </si>
  <si>
    <t xml:space="preserve">BTCS24O1073 </t>
  </si>
  <si>
    <t xml:space="preserve">BTCS24O1074 </t>
  </si>
  <si>
    <t xml:space="preserve">BTCS24O1075 </t>
  </si>
  <si>
    <t xml:space="preserve">BTCS24O1076 </t>
  </si>
  <si>
    <t xml:space="preserve">BTCS24O1077 </t>
  </si>
  <si>
    <t xml:space="preserve">BTCS24O1078 </t>
  </si>
  <si>
    <t xml:space="preserve">BTCS24O1079 </t>
  </si>
  <si>
    <t xml:space="preserve">BTCS24O1080 </t>
  </si>
  <si>
    <t xml:space="preserve">BTCS24O1081 </t>
  </si>
  <si>
    <t xml:space="preserve">BTCS24O1082 </t>
  </si>
  <si>
    <t xml:space="preserve">BTCS24O1083 </t>
  </si>
  <si>
    <t xml:space="preserve">BTCS24O1084 </t>
  </si>
  <si>
    <t xml:space="preserve">BTCS24O1085 </t>
  </si>
  <si>
    <t xml:space="preserve">BTCS24O1086 </t>
  </si>
  <si>
    <t xml:space="preserve">BTCS24O1087 </t>
  </si>
  <si>
    <t xml:space="preserve">BTCS24O1089 </t>
  </si>
  <si>
    <t xml:space="preserve">BTCS24O1090 </t>
  </si>
  <si>
    <t xml:space="preserve">BTCS24O1091 </t>
  </si>
  <si>
    <t xml:space="preserve">BTCS24O1092 </t>
  </si>
  <si>
    <t xml:space="preserve">BTCS24O1093 </t>
  </si>
  <si>
    <t xml:space="preserve">BTCS24O1094 </t>
  </si>
  <si>
    <t xml:space="preserve">BTCS24O1095 </t>
  </si>
  <si>
    <t xml:space="preserve">BTCS24O1096 </t>
  </si>
  <si>
    <t xml:space="preserve">BTCS24O1097 </t>
  </si>
  <si>
    <t xml:space="preserve">BTCS24O1098 </t>
  </si>
  <si>
    <t xml:space="preserve">BTCS24O1099 </t>
  </si>
  <si>
    <t xml:space="preserve">BTCS24O1101 </t>
  </si>
  <si>
    <t xml:space="preserve">BTCS24O1102 </t>
  </si>
  <si>
    <t xml:space="preserve">BTCS24O1103 </t>
  </si>
  <si>
    <t xml:space="preserve">BTCS24O1104 </t>
  </si>
  <si>
    <t xml:space="preserve">BTCS24O1105 </t>
  </si>
  <si>
    <t xml:space="preserve">BTCS24O1106 </t>
  </si>
  <si>
    <t xml:space="preserve">BTCS24O1107 </t>
  </si>
  <si>
    <t xml:space="preserve">BTCS24O1108 </t>
  </si>
  <si>
    <t xml:space="preserve">BTCS24O1109 </t>
  </si>
  <si>
    <t xml:space="preserve">BTCS24O1110 </t>
  </si>
  <si>
    <t xml:space="preserve">BTCS24O1111 </t>
  </si>
  <si>
    <t xml:space="preserve">BTCS24O1112 </t>
  </si>
  <si>
    <t xml:space="preserve">BTCS24O1113 </t>
  </si>
  <si>
    <t xml:space="preserve">BTCS24O1114 </t>
  </si>
  <si>
    <t xml:space="preserve">BTCS24O1115 </t>
  </si>
  <si>
    <t xml:space="preserve">BTCS24O1116 </t>
  </si>
  <si>
    <t xml:space="preserve">BTCS24O1117 </t>
  </si>
  <si>
    <t xml:space="preserve">BTCS24O1118 </t>
  </si>
  <si>
    <t xml:space="preserve">BTCS24O1119 </t>
  </si>
  <si>
    <t xml:space="preserve">BTCS24O1120 </t>
  </si>
  <si>
    <t xml:space="preserve">BTCS24O1121 </t>
  </si>
  <si>
    <t xml:space="preserve">BTCS24O1122 </t>
  </si>
  <si>
    <t xml:space="preserve">BTCS24O1123 </t>
  </si>
  <si>
    <t xml:space="preserve">BTCS24O1124 </t>
  </si>
  <si>
    <t xml:space="preserve">BTCS24O1125 </t>
  </si>
  <si>
    <t xml:space="preserve">BTCS24O1126 </t>
  </si>
  <si>
    <t xml:space="preserve">BTCS24O1127 </t>
  </si>
  <si>
    <t xml:space="preserve">BTCS24O1128 </t>
  </si>
  <si>
    <t xml:space="preserve">BTCS24O1129 </t>
  </si>
  <si>
    <t xml:space="preserve">BTCS24O1130 </t>
  </si>
  <si>
    <t xml:space="preserve">BTCS24O1131 </t>
  </si>
  <si>
    <t xml:space="preserve">BTCS24O1132 </t>
  </si>
  <si>
    <t xml:space="preserve">BTCS24O1133 </t>
  </si>
  <si>
    <t xml:space="preserve">BTCS24O1134 </t>
  </si>
  <si>
    <t xml:space="preserve">BTCS24O1135 </t>
  </si>
  <si>
    <t xml:space="preserve">BTCS24O1136 </t>
  </si>
  <si>
    <t xml:space="preserve">BTCS24O1137 </t>
  </si>
  <si>
    <t xml:space="preserve">BTCS24O1138 </t>
  </si>
  <si>
    <t xml:space="preserve">BTCS24O1139 </t>
  </si>
  <si>
    <t xml:space="preserve">BTCS24O1140 </t>
  </si>
  <si>
    <t xml:space="preserve">BTCS24O1141 </t>
  </si>
  <si>
    <t xml:space="preserve">BTCS24O1142 </t>
  </si>
  <si>
    <t xml:space="preserve">BTCS24O1143 </t>
  </si>
  <si>
    <t xml:space="preserve">BTCS24O1144 </t>
  </si>
  <si>
    <t xml:space="preserve">BTCS24O1145 </t>
  </si>
  <si>
    <t xml:space="preserve">BTCS24O1146 </t>
  </si>
  <si>
    <t xml:space="preserve">BTCS24O1147 </t>
  </si>
  <si>
    <t xml:space="preserve">BTCS24O1148 </t>
  </si>
  <si>
    <t xml:space="preserve">BTCS24O1149 </t>
  </si>
  <si>
    <t xml:space="preserve">BTCS24O1150 </t>
  </si>
  <si>
    <t xml:space="preserve">BTCS24O1151 </t>
  </si>
  <si>
    <t xml:space="preserve">BTCS24O1152 </t>
  </si>
  <si>
    <t xml:space="preserve">BTCS24O1153 </t>
  </si>
  <si>
    <t xml:space="preserve">BTCS24O1154 </t>
  </si>
  <si>
    <t xml:space="preserve">BTCS25O3D01 </t>
  </si>
  <si>
    <t xml:space="preserve">BTCS25O3D02 </t>
  </si>
  <si>
    <t xml:space="preserve">BTCS25O3D03 </t>
  </si>
  <si>
    <t xml:space="preserve">BTCS25O3D04 </t>
  </si>
  <si>
    <t xml:space="preserve">BTCS25O3D05 </t>
  </si>
  <si>
    <t xml:space="preserve">BTCS25O3D06 </t>
  </si>
  <si>
    <t xml:space="preserve">BTCS25O3D07 </t>
  </si>
  <si>
    <t xml:space="preserve">BTCS25O3D08 </t>
  </si>
  <si>
    <t xml:space="preserve">BTCS25O3D09 </t>
  </si>
  <si>
    <t xml:space="preserve">BTCS25O3D10 </t>
  </si>
  <si>
    <t xml:space="preserve">BTCS25O3D11 </t>
  </si>
  <si>
    <t xml:space="preserve">BTCS25O3D12 </t>
  </si>
  <si>
    <t>Passowrd</t>
  </si>
  <si>
    <t>AARYANVI SHARMA</t>
  </si>
  <si>
    <t>ABHIMANYU SINGH</t>
  </si>
  <si>
    <t>ABHISHEK GUPTA</t>
  </si>
  <si>
    <t>ABHISHEK KUMAR</t>
  </si>
  <si>
    <t>ABHISHEK SINGH</t>
  </si>
  <si>
    <t>ABHISHEK SUMAN</t>
  </si>
  <si>
    <t>ADITI AGRAWAL</t>
  </si>
  <si>
    <t>ADITYA CHANDEL</t>
  </si>
  <si>
    <t>ADITYA CHOUHAN</t>
  </si>
  <si>
    <t>ADITYA DUBEY</t>
  </si>
  <si>
    <t>ADITYA PRAKASH</t>
  </si>
  <si>
    <t>ADITYA TANTUWAY</t>
  </si>
  <si>
    <t>AKANKSHA SHARMA</t>
  </si>
  <si>
    <t>AKSHAT GUPTA</t>
  </si>
  <si>
    <t>ALAKH GUPTA</t>
  </si>
  <si>
    <t>ALOK KUMAR KUSHWAH</t>
  </si>
  <si>
    <t>AMAN</t>
  </si>
  <si>
    <t>AMAN PANDEY</t>
  </si>
  <si>
    <t>AMAN SINGH</t>
  </si>
  <si>
    <t>AMIT MANMODE</t>
  </si>
  <si>
    <t>ANAS KHAN GAURI</t>
  </si>
  <si>
    <t>ANIKET BHARTI</t>
  </si>
  <si>
    <t>ANKIT KARORIYA</t>
  </si>
  <si>
    <t>ANKUSH KANERIYA</t>
  </si>
  <si>
    <t>ANNIKA SUBHASH</t>
  </si>
  <si>
    <t>ANUSHKA SINGHAL</t>
  </si>
  <si>
    <t>ARYAN PARIHAR</t>
  </si>
  <si>
    <t>ASHU</t>
  </si>
  <si>
    <t>ASTHA SAINI</t>
  </si>
  <si>
    <t>ATHARV SHRIVASTAVA</t>
  </si>
  <si>
    <t>AYUSH</t>
  </si>
  <si>
    <t>AYUSH KOUSHAL</t>
  </si>
  <si>
    <t>AYUSH NAGAR</t>
  </si>
  <si>
    <t>BHANU PRATAP SINGH CHAUHAN</t>
  </si>
  <si>
    <t>BHANUPRATAP GURJAR</t>
  </si>
  <si>
    <t>DEVANSH BHARGAV</t>
  </si>
  <si>
    <t>DHANANJAY SINGH TOMAR</t>
  </si>
  <si>
    <t>DHRUV KUMAR PATEL</t>
  </si>
  <si>
    <t>DIPESH KUMAR</t>
  </si>
  <si>
    <t>DIVYANSH GUPTA</t>
  </si>
  <si>
    <t>DIVYANSH SHEKHAR THAKUR</t>
  </si>
  <si>
    <t>DIVYANSHU DAPAKARA</t>
  </si>
  <si>
    <t>DOLLY REWASIYA</t>
  </si>
  <si>
    <t>EKAGRA GANGIL</t>
  </si>
  <si>
    <t>FARAZ KHALID</t>
  </si>
  <si>
    <t>GOURAV CHOUDHARY</t>
  </si>
  <si>
    <t>HARIOM GOURH</t>
  </si>
  <si>
    <t>HARIOM RATHOR</t>
  </si>
  <si>
    <t>HARSH KUMAR DAS</t>
  </si>
  <si>
    <t>HARSH YADAV</t>
  </si>
  <si>
    <t>HARSHIT MALVIYA</t>
  </si>
  <si>
    <t>HARSHIT SINGH</t>
  </si>
  <si>
    <t>HARSHIT TIWARI</t>
  </si>
  <si>
    <t>HARSHITA</t>
  </si>
  <si>
    <t>HEMANT MATHUR</t>
  </si>
  <si>
    <t>HIMANSHU RATHORE</t>
  </si>
  <si>
    <t>HITESH SANGHI</t>
  </si>
  <si>
    <t>HRITAM SHRIVASTAVA</t>
  </si>
  <si>
    <t>ISHWAR PATEL</t>
  </si>
  <si>
    <t>JATIN PATIDAR</t>
  </si>
  <si>
    <t>JAYESH SONEKAR</t>
  </si>
  <si>
    <t>JAYHIND AHIRWAR</t>
  </si>
  <si>
    <t>JHNAVI BHADKARIYA</t>
  </si>
  <si>
    <t>KANIKA JAIN</t>
  </si>
  <si>
    <t>KARTIK SINGHAL</t>
  </si>
  <si>
    <t>KHUSHAL SINGH</t>
  </si>
  <si>
    <t>KHUSHI BANSAL</t>
  </si>
  <si>
    <t>KHUSHI GARG</t>
  </si>
  <si>
    <t>KISHAN CHAUDHARY</t>
  </si>
  <si>
    <t>KSHITIJ KUMAR SONI</t>
  </si>
  <si>
    <t>KUNAL YADUVANSHI</t>
  </si>
  <si>
    <t>KHUSHI GUPTA</t>
  </si>
  <si>
    <t>LAVANYA BAJPAI</t>
  </si>
  <si>
    <t>MAHI GUPTA</t>
  </si>
  <si>
    <t>MITI DUBEY</t>
  </si>
  <si>
    <t>MOHIT RAJPUT</t>
  </si>
  <si>
    <t>MOHIT SHARMA</t>
  </si>
  <si>
    <t>MUSKAN SOLANKI</t>
  </si>
  <si>
    <t>NAKUL RATHOR</t>
  </si>
  <si>
    <t>NEMISH NAGARIA</t>
  </si>
  <si>
    <t>NIKHIL SHARMA</t>
  </si>
  <si>
    <t>NIKHIL YADAV</t>
  </si>
  <si>
    <t>NITIN MALVIYA</t>
  </si>
  <si>
    <t>OM GANDHAWANE</t>
  </si>
  <si>
    <t>PARTH PANCHAL</t>
  </si>
  <si>
    <t>PARV AGRAWAL</t>
  </si>
  <si>
    <t>PIYUSH GAUTAM</t>
  </si>
  <si>
    <t>PIYUSH SINGH</t>
  </si>
  <si>
    <t>PRAJVAL SAKI</t>
  </si>
  <si>
    <t>PRAKHAR NEMA</t>
  </si>
  <si>
    <t>PRANJAL BANSAL</t>
  </si>
  <si>
    <t>PRIYANKA CHANDERIYA</t>
  </si>
  <si>
    <t>PRIYANSHI MAHESHWARI</t>
  </si>
  <si>
    <t>PRIYANSHU AISHWAR</t>
  </si>
  <si>
    <t>PUSHPENDRA SURYAWANSHI</t>
  </si>
  <si>
    <t>RAHUL BAGHEL</t>
  </si>
  <si>
    <t>RAHUL YADAV</t>
  </si>
  <si>
    <t>RAJEEV RAGHUWANSHI</t>
  </si>
  <si>
    <t>RAJSHI SURYAWANSHI</t>
  </si>
  <si>
    <t>RASAL SINGH NARWARIA</t>
  </si>
  <si>
    <t>RASHI RAJORIYA</t>
  </si>
  <si>
    <t>RIYA BARMAIYA</t>
  </si>
  <si>
    <t>ROHIT ARYA</t>
  </si>
  <si>
    <t>ROHIT MOURYA</t>
  </si>
  <si>
    <t>ROSHAN MODI</t>
  </si>
  <si>
    <t>SACHIN KUMAR</t>
  </si>
  <si>
    <t>SACHIN MAKWANA</t>
  </si>
  <si>
    <t>SAHARSH PAREEK</t>
  </si>
  <si>
    <t>SAHIL JAIN</t>
  </si>
  <si>
    <t>SAHIL MAHOUR</t>
  </si>
  <si>
    <t>SAKSHAM SHRIVASTAVA</t>
  </si>
  <si>
    <t>SANDEEP</t>
  </si>
  <si>
    <t>SANDEEP KUMAR GOND</t>
  </si>
  <si>
    <t>SARTHAK AGRAWAL</t>
  </si>
  <si>
    <t>SEJAL SINGH BAGHEL</t>
  </si>
  <si>
    <t>SHIKHAR NAYAK</t>
  </si>
  <si>
    <t>SHIVAM SHARMA</t>
  </si>
  <si>
    <t>SHIVANI RAGHUWANSHI</t>
  </si>
  <si>
    <t>SHIVANSH SONI</t>
  </si>
  <si>
    <t>SHOAIB KHAN</t>
  </si>
  <si>
    <t>SHREYA GOYAL</t>
  </si>
  <si>
    <t>SHREYASH RAWAL</t>
  </si>
  <si>
    <t>SHUBHAM PARMAR</t>
  </si>
  <si>
    <t>SHUBHAM PRAJAPATI</t>
  </si>
  <si>
    <t>SNEHA TOMAR</t>
  </si>
  <si>
    <t>SOURAV SHRIVAS</t>
  </si>
  <si>
    <t>SURAJ MALVIYA</t>
  </si>
  <si>
    <t>TANISH SHIVHARE</t>
  </si>
  <si>
    <t>TANISH TANTUWAY</t>
  </si>
  <si>
    <t>TEJASVA GUPTA</t>
  </si>
  <si>
    <t>UDAY PRATAP SINGH</t>
  </si>
  <si>
    <t>UTKARSH KIKAN</t>
  </si>
  <si>
    <t>VAIBHAV PATIDAR</t>
  </si>
  <si>
    <t>VAIDIK PATHAK</t>
  </si>
  <si>
    <t>VAIDIK PATIDAR</t>
  </si>
  <si>
    <t>VAIDIK VERMA</t>
  </si>
  <si>
    <t>VANSH BARYA</t>
  </si>
  <si>
    <t>VANSH PRATAP SINGH JADON</t>
  </si>
  <si>
    <t>VANSHIKA WAMANKAR</t>
  </si>
  <si>
    <t>VED NAGESHWAR</t>
  </si>
  <si>
    <t>VIKAS KUMAR KAUSHAL</t>
  </si>
  <si>
    <t>VIPIN DHAKAD</t>
  </si>
  <si>
    <t>VIVEK BHAGAT</t>
  </si>
  <si>
    <t>VIVEK KUMAR SIHOLIYA</t>
  </si>
  <si>
    <t>YASH BARASKAR</t>
  </si>
  <si>
    <t>YASHIKA AGRAWAL</t>
  </si>
  <si>
    <t>YUVRAJ SINGH NARWARIYA</t>
  </si>
  <si>
    <t>ADITYA PANDEY</t>
  </si>
  <si>
    <t>BHAVNA JAIN</t>
  </si>
  <si>
    <t>GAGAN SINGH RAJPUT</t>
  </si>
  <si>
    <t>ISHA BATHAM</t>
  </si>
  <si>
    <t>MANIRAJ SINGH</t>
  </si>
  <si>
    <t>NITIKA JATAV</t>
  </si>
  <si>
    <t>PRAYANSHU TOMAR</t>
  </si>
  <si>
    <t>SIVAM</t>
  </si>
  <si>
    <t>SRIJAN VERMA</t>
  </si>
  <si>
    <t>VISHAL MATHE</t>
  </si>
  <si>
    <t>SAMRIDDHI MISHRA</t>
  </si>
  <si>
    <t>GAURAV TOMAR</t>
  </si>
  <si>
    <t>Semester: IV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</si>
</sst>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color rgb="FF000000"/>
      <name val="Times New Roman"/>
      <family val="1"/>
    </font>
    <font>
      <b/>
      <sz val="14"/>
      <name val="Calibri"/>
      <family val="2"/>
    </font>
    <font>
      <b/>
      <sz val="12"/>
      <color rgb="FF000000"/>
      <name val="Times New Roman"/>
      <family val="1"/>
    </font>
    <font>
      <b/>
      <sz val="14"/>
      <name val="Times New Roman"/>
      <family val="1"/>
    </font>
    <font>
      <sz val="14"/>
      <name val="Calibri"/>
      <family val="2"/>
    </font>
    <font>
      <b/>
      <sz val="16"/>
      <name val="Calibri"/>
      <family val="2"/>
    </font>
    <font>
      <sz val="10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8"/>
      <color rgb="FF000000"/>
      <name val="Calibri"/>
      <family val="2"/>
    </font>
    <font>
      <b/>
      <sz val="18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2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3D3D3"/>
        <bgColor rgb="FFD3D3D3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10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9" fillId="0" borderId="1" xfId="2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center" wrapText="1"/>
    </xf>
    <xf numFmtId="0" fontId="1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2" fillId="0" borderId="4" xfId="0" applyFont="1" applyBorder="1" applyAlignment="1">
      <alignment horizontal="center"/>
    </xf>
    <xf numFmtId="0" fontId="4" fillId="0" borderId="1" xfId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7" fillId="0" borderId="0" xfId="0" applyFont="1"/>
    <xf numFmtId="0" fontId="17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20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top"/>
    </xf>
    <xf numFmtId="0" fontId="7" fillId="0" borderId="0" xfId="0" applyFont="1" applyAlignment="1">
      <alignment horizontal="center"/>
    </xf>
    <xf numFmtId="0" fontId="21" fillId="0" borderId="1" xfId="0" applyFont="1" applyBorder="1"/>
    <xf numFmtId="0" fontId="22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center" wrapText="1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 applyAlignment="1">
      <alignment wrapText="1"/>
    </xf>
    <xf numFmtId="0" fontId="19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7" fillId="0" borderId="0" xfId="0" applyFont="1"/>
    <xf numFmtId="0" fontId="14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top"/>
    </xf>
    <xf numFmtId="0" fontId="14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center"/>
    </xf>
    <xf numFmtId="0" fontId="1" fillId="5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9" fillId="8" borderId="1" xfId="0" applyFont="1" applyFill="1" applyBorder="1" applyAlignment="1">
      <alignment horizontal="left" vertical="top" wrapText="1" readingOrder="1"/>
    </xf>
    <xf numFmtId="0" fontId="29" fillId="0" borderId="1" xfId="0" applyFont="1" applyBorder="1" applyAlignment="1">
      <alignment horizontal="left" vertical="top" wrapText="1" readingOrder="1"/>
    </xf>
    <xf numFmtId="0" fontId="29" fillId="0" borderId="2" xfId="0" applyFont="1" applyBorder="1" applyAlignment="1">
      <alignment horizontal="left" vertical="top" wrapText="1" readingOrder="1"/>
    </xf>
    <xf numFmtId="0" fontId="30" fillId="0" borderId="0" xfId="0" applyFont="1" applyAlignment="1">
      <alignment horizontal="center"/>
    </xf>
    <xf numFmtId="0" fontId="27" fillId="0" borderId="4" xfId="0" applyFont="1" applyBorder="1"/>
    <xf numFmtId="0" fontId="31" fillId="0" borderId="4" xfId="0" applyFont="1" applyBorder="1"/>
    <xf numFmtId="0" fontId="0" fillId="2" borderId="1" xfId="0" applyFill="1" applyBorder="1" applyAlignment="1">
      <alignment horizontal="left" vertical="center"/>
    </xf>
    <xf numFmtId="0" fontId="29" fillId="10" borderId="1" xfId="0" applyFont="1" applyFill="1" applyBorder="1" applyAlignment="1">
      <alignment horizontal="left" vertical="top" wrapText="1" readingOrder="1"/>
    </xf>
    <xf numFmtId="0" fontId="0" fillId="10" borderId="1" xfId="0" applyFill="1" applyBorder="1" applyAlignment="1">
      <alignment horizontal="left" vertical="center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15" fillId="3" borderId="0" xfId="0" applyFont="1" applyFill="1" applyAlignment="1">
      <alignment horizontal="left" vertical="center" wrapText="1"/>
    </xf>
    <xf numFmtId="0" fontId="27" fillId="0" borderId="0" xfId="0" applyFont="1" applyAlignment="1">
      <alignment horizontal="center"/>
    </xf>
    <xf numFmtId="0" fontId="28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4" fontId="26" fillId="0" borderId="0" xfId="0" applyNumberFormat="1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9" fillId="8" borderId="6" xfId="0" applyFont="1" applyFill="1" applyBorder="1" applyAlignment="1">
      <alignment horizontal="left" vertical="top" wrapText="1" readingOrder="1"/>
    </xf>
    <xf numFmtId="0" fontId="29" fillId="0" borderId="6" xfId="0" applyFont="1" applyBorder="1" applyAlignment="1">
      <alignment horizontal="left" vertical="top" wrapText="1" readingOrder="1"/>
    </xf>
    <xf numFmtId="0" fontId="17" fillId="9" borderId="7" xfId="0" applyFont="1" applyFill="1" applyBorder="1" applyAlignment="1">
      <alignment horizontal="center" vertical="top" wrapText="1" readingOrder="1"/>
    </xf>
    <xf numFmtId="0" fontId="17" fillId="9" borderId="8" xfId="0" applyFont="1" applyFill="1" applyBorder="1" applyAlignment="1">
      <alignment vertical="top" wrapText="1" readingOrder="1"/>
    </xf>
    <xf numFmtId="0" fontId="17" fillId="9" borderId="9" xfId="0" applyFont="1" applyFill="1" applyBorder="1" applyAlignment="1">
      <alignment horizontal="center" vertical="top" wrapText="1" readingOrder="1"/>
    </xf>
    <xf numFmtId="0" fontId="17" fillId="9" borderId="8" xfId="0" applyFont="1" applyFill="1" applyBorder="1" applyAlignment="1">
      <alignment horizontal="center" vertical="top" wrapText="1" readingOrder="1"/>
    </xf>
    <xf numFmtId="0" fontId="0" fillId="0" borderId="1" xfId="0" applyBorder="1" applyAlignment="1">
      <alignment horizontal="left"/>
    </xf>
    <xf numFmtId="0" fontId="29" fillId="0" borderId="2" xfId="0" applyFont="1" applyBorder="1" applyAlignment="1">
      <alignment horizontal="center" vertical="top" wrapText="1" readingOrder="1"/>
    </xf>
    <xf numFmtId="0" fontId="29" fillId="0" borderId="3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horizontal="center"/>
    </xf>
  </cellXfs>
  <cellStyles count="3">
    <cellStyle name="Normal" xfId="0" builtinId="0"/>
    <cellStyle name="Normal 2" xfId="1" xr:uid="{E4C933BD-37DA-4C06-9C5A-344B30B85A00}"/>
    <cellStyle name="Normal 3" xfId="2" xr:uid="{583882FB-FEA2-48D2-A3EF-8F703F73B964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top" textRotation="0" wrapText="1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top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1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rgb="FFD3D3D3"/>
          <bgColor rgb="FFD3D3D3"/>
        </patternFill>
      </fill>
      <alignment horizontal="center" vertical="top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textRotation="0" wrapText="1" indent="0" justifyLastLine="0" shrinkToFit="0" readingOrder="0"/>
    </dxf>
    <dxf>
      <fill>
        <patternFill patternType="none"/>
      </fill>
    </dxf>
    <dxf>
      <fill>
        <patternFill patternType="solid">
          <fgColor rgb="FFD9E2F3"/>
          <bgColor rgb="FFD9E2F3"/>
        </patternFill>
      </fill>
    </dxf>
    <dxf>
      <fill>
        <patternFill patternType="none"/>
      </fill>
    </dxf>
  </dxfs>
  <tableStyles count="1" defaultTableStyle="TableStyleMedium2" defaultPivotStyle="PivotStyleLight16">
    <tableStyle name="Sheet3-style" pivot="0" count="3" xr9:uid="{3DA7A656-90E2-43BB-BE69-D0D4ADBCF4C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8629F-ED5A-4375-A101-D1D73D321BFF}" name="Table_1" displayName="Table_1" ref="A3:G130" headerRowDxfId="7">
  <autoFilter ref="A3:G130" xr:uid="{E6B8629F-ED5A-4375-A101-D1D73D321BFF}"/>
  <sortState xmlns:xlrd2="http://schemas.microsoft.com/office/spreadsheetml/2017/richdata2" ref="A4:G17">
    <sortCondition ref="D3:D130"/>
  </sortState>
  <tableColumns count="7">
    <tableColumn id="1" xr3:uid="{05F093E6-C564-4800-B304-2D62DC2603C3}" name=" Programme"/>
    <tableColumn id="2" xr3:uid="{8BAC45C9-6887-4CB5-A2E9-A0C6D5FA4B89}" name="Course Code"/>
    <tableColumn id="3" xr3:uid="{5C9795BE-60B2-442D-BD7F-0572852D98A3}" name="Course Title"/>
    <tableColumn id="4" xr3:uid="{3520184A-701F-4E6F-AE62-B20CEA9DD318}" name="Mode of Exam"/>
    <tableColumn id="5" xr3:uid="{34B44D1E-8F87-4DDD-82EB-8459868062AC}" name="Date"/>
    <tableColumn id="6" xr3:uid="{6EB7D80C-0BAE-4C11-A377-54AF0FED0B50}" name="Present"/>
    <tableColumn id="7" xr3:uid="{523C9330-D71F-4DDD-BDA8-51D1D6D8884C}" name="Absent"/>
  </tableColumns>
  <tableStyleInfo name="Sheet3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204B4D-1851-439D-BA1E-D9E473EB0EC8}" name="Table1" displayName="Table1" ref="A1:E162" totalsRowShown="0" headerRowDxfId="6" tableBorderDxfId="5">
  <autoFilter ref="A1:E162" xr:uid="{49204B4D-1851-439D-BA1E-D9E473EB0EC8}"/>
  <sortState xmlns:xlrd2="http://schemas.microsoft.com/office/spreadsheetml/2017/richdata2" ref="A2:E162">
    <sortCondition ref="B1:B162"/>
  </sortState>
  <tableColumns count="5">
    <tableColumn id="1" xr3:uid="{4B1E0C94-DCA3-4D10-8C51-68B24F43A7FF}" name="SNo." dataDxfId="4"/>
    <tableColumn id="2" xr3:uid="{AB13E052-D2D8-429F-8DFD-E45CE011D21D}" name="Enrollment" dataDxfId="3"/>
    <tableColumn id="3" xr3:uid="{27701EFC-D549-4CE6-9E29-901B510E871D}" name="Student Name" dataDxfId="2"/>
    <tableColumn id="4" xr3:uid="{35337A1E-75AE-4FD2-9F40-CE7E2D189175}" name="Code" dataDxfId="1"/>
    <tableColumn id="5" xr3:uid="{13D1FB56-4AEC-41AF-87BA-468AFA55D3CE}" name="Passowr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087F-266F-48CA-9733-1F3EB326EC02}">
  <dimension ref="A1:G131"/>
  <sheetViews>
    <sheetView workbookViewId="0">
      <selection activeCell="K131" sqref="K131"/>
    </sheetView>
  </sheetViews>
  <sheetFormatPr defaultColWidth="14.42578125" defaultRowHeight="15" x14ac:dyDescent="0.25"/>
  <cols>
    <col min="1" max="1" width="38.140625" customWidth="1"/>
    <col min="2" max="2" width="13.7109375" customWidth="1"/>
    <col min="3" max="3" width="28" customWidth="1"/>
    <col min="4" max="4" width="10.7109375" customWidth="1"/>
    <col min="5" max="5" width="15.85546875" customWidth="1"/>
    <col min="6" max="6" width="9.28515625" customWidth="1"/>
    <col min="7" max="7" width="9.140625" customWidth="1"/>
    <col min="8" max="11" width="8.7109375" customWidth="1"/>
  </cols>
  <sheetData>
    <row r="1" spans="1:7" ht="14.25" customHeight="1" x14ac:dyDescent="0.25"/>
    <row r="2" spans="1:7" ht="22.5" customHeight="1" x14ac:dyDescent="0.25">
      <c r="A2" s="85" t="s">
        <v>101</v>
      </c>
      <c r="B2" s="85"/>
      <c r="C2" s="85"/>
      <c r="D2" s="85"/>
      <c r="E2" s="85"/>
      <c r="F2" s="36" t="e">
        <f>#REF!</f>
        <v>#REF!</v>
      </c>
      <c r="G2" s="37"/>
    </row>
    <row r="3" spans="1:7" s="39" customFormat="1" ht="51.75" customHeight="1" x14ac:dyDescent="0.25">
      <c r="A3" s="38" t="s">
        <v>102</v>
      </c>
      <c r="B3" s="38" t="s">
        <v>103</v>
      </c>
      <c r="C3" s="38" t="s">
        <v>104</v>
      </c>
      <c r="D3" s="38" t="s">
        <v>105</v>
      </c>
      <c r="E3" s="38" t="s">
        <v>106</v>
      </c>
      <c r="F3" s="38" t="s">
        <v>107</v>
      </c>
      <c r="G3" s="38" t="s">
        <v>108</v>
      </c>
    </row>
    <row r="4" spans="1:7" ht="35.1" customHeight="1" x14ac:dyDescent="0.3">
      <c r="A4" s="56"/>
      <c r="B4" s="57"/>
      <c r="C4" s="57"/>
      <c r="D4" s="57"/>
      <c r="E4" s="57"/>
      <c r="F4" s="40"/>
      <c r="G4" s="40"/>
    </row>
    <row r="5" spans="1:7" ht="35.1" customHeight="1" x14ac:dyDescent="0.3">
      <c r="A5" s="56"/>
      <c r="B5" s="57"/>
      <c r="C5" s="57"/>
      <c r="D5" s="57"/>
      <c r="E5" s="57"/>
      <c r="F5" s="40"/>
      <c r="G5" s="40"/>
    </row>
    <row r="6" spans="1:7" ht="35.1" customHeight="1" x14ac:dyDescent="0.3">
      <c r="A6" s="56"/>
      <c r="B6" s="57"/>
      <c r="C6" s="57"/>
      <c r="D6" s="57"/>
      <c r="E6" s="57"/>
      <c r="F6" s="40"/>
      <c r="G6" s="40"/>
    </row>
    <row r="7" spans="1:7" ht="35.1" customHeight="1" x14ac:dyDescent="0.3">
      <c r="A7" s="56"/>
      <c r="B7" s="57"/>
      <c r="C7" s="57"/>
      <c r="D7" s="57"/>
      <c r="E7" s="57"/>
      <c r="F7" s="40"/>
      <c r="G7" s="40"/>
    </row>
    <row r="8" spans="1:7" ht="35.1" customHeight="1" x14ac:dyDescent="0.3">
      <c r="A8" s="56"/>
      <c r="B8" s="57"/>
      <c r="C8" s="57"/>
      <c r="D8" s="57"/>
      <c r="E8" s="57"/>
      <c r="F8" s="40"/>
      <c r="G8" s="40"/>
    </row>
    <row r="9" spans="1:7" ht="35.1" customHeight="1" x14ac:dyDescent="0.3">
      <c r="A9" s="56"/>
      <c r="B9" s="57"/>
      <c r="C9" s="57"/>
      <c r="D9" s="57"/>
      <c r="E9" s="57"/>
      <c r="F9" s="40"/>
      <c r="G9" s="40"/>
    </row>
    <row r="10" spans="1:7" ht="35.1" hidden="1" customHeight="1" x14ac:dyDescent="0.25">
      <c r="A10" s="55"/>
      <c r="B10" s="54"/>
      <c r="C10" s="53"/>
      <c r="D10" s="53"/>
      <c r="E10" s="53"/>
      <c r="F10" s="40"/>
      <c r="G10" s="40"/>
    </row>
    <row r="11" spans="1:7" ht="35.1" customHeight="1" x14ac:dyDescent="0.25">
      <c r="A11" s="41"/>
      <c r="B11" s="42"/>
      <c r="C11" s="41"/>
      <c r="D11" s="43"/>
      <c r="E11" s="44"/>
      <c r="F11" s="45"/>
      <c r="G11" s="45"/>
    </row>
    <row r="12" spans="1:7" ht="35.1" hidden="1" customHeight="1" x14ac:dyDescent="0.25">
      <c r="A12" s="41"/>
      <c r="B12" s="42"/>
      <c r="C12" s="41"/>
      <c r="D12" s="43"/>
      <c r="E12" s="43"/>
      <c r="F12" s="46"/>
      <c r="G12" s="46"/>
    </row>
    <row r="13" spans="1:7" s="47" customFormat="1" ht="24.95" hidden="1" customHeight="1" x14ac:dyDescent="0.25">
      <c r="A13" s="41"/>
      <c r="B13" s="42"/>
      <c r="C13" s="41"/>
      <c r="D13" s="43"/>
      <c r="E13" s="43"/>
      <c r="F13" s="41"/>
      <c r="G13" s="42"/>
    </row>
    <row r="14" spans="1:7" s="47" customFormat="1" ht="24.95" hidden="1" customHeight="1" x14ac:dyDescent="0.25">
      <c r="A14" s="41"/>
      <c r="B14" s="42"/>
      <c r="C14" s="41"/>
      <c r="D14" s="41"/>
      <c r="E14" s="41"/>
      <c r="F14" s="41"/>
      <c r="G14" s="42"/>
    </row>
    <row r="15" spans="1:7" s="47" customFormat="1" ht="24.95" hidden="1" customHeight="1" x14ac:dyDescent="0.25">
      <c r="A15" s="41"/>
      <c r="B15" s="42"/>
      <c r="C15" s="41"/>
      <c r="D15" s="41"/>
      <c r="E15" s="41"/>
      <c r="F15" s="41"/>
      <c r="G15" s="42"/>
    </row>
    <row r="16" spans="1:7" s="47" customFormat="1" ht="35.1" hidden="1" customHeight="1" x14ac:dyDescent="0.25">
      <c r="A16" s="48"/>
      <c r="B16" s="48"/>
      <c r="C16" s="49"/>
      <c r="D16" s="48"/>
      <c r="E16" s="48"/>
      <c r="F16" s="48"/>
      <c r="G16" s="36"/>
    </row>
    <row r="17" spans="1:7" s="47" customFormat="1" ht="24.95" hidden="1" customHeight="1" x14ac:dyDescent="0.25">
      <c r="A17" s="41"/>
      <c r="B17" s="42"/>
      <c r="C17" s="41"/>
      <c r="D17" s="43"/>
      <c r="E17" s="43"/>
      <c r="F17" s="43"/>
      <c r="G17" s="42"/>
    </row>
    <row r="18" spans="1:7" s="47" customFormat="1" ht="24.95" hidden="1" customHeight="1" x14ac:dyDescent="0.25">
      <c r="A18" s="41"/>
      <c r="B18" s="42"/>
      <c r="C18" s="41"/>
      <c r="D18" s="43"/>
      <c r="E18" s="43"/>
      <c r="F18" s="43"/>
      <c r="G18" s="42"/>
    </row>
    <row r="19" spans="1:7" s="47" customFormat="1" ht="24.95" hidden="1" customHeight="1" x14ac:dyDescent="0.25">
      <c r="A19" s="41"/>
      <c r="B19" s="42"/>
      <c r="C19" s="41"/>
      <c r="D19" s="43"/>
      <c r="E19" s="43"/>
      <c r="F19" s="43"/>
      <c r="G19" s="42"/>
    </row>
    <row r="20" spans="1:7" s="47" customFormat="1" ht="24.95" hidden="1" customHeight="1" x14ac:dyDescent="0.25">
      <c r="A20" s="41"/>
      <c r="B20" s="42"/>
      <c r="C20" s="41"/>
      <c r="D20" s="43"/>
      <c r="E20" s="43"/>
      <c r="F20" s="43"/>
      <c r="G20" s="42"/>
    </row>
    <row r="21" spans="1:7" s="47" customFormat="1" ht="24.95" hidden="1" customHeight="1" x14ac:dyDescent="0.25">
      <c r="A21" s="41"/>
      <c r="B21" s="42"/>
      <c r="C21" s="41"/>
      <c r="D21" s="43"/>
      <c r="E21" s="43"/>
      <c r="F21" s="43"/>
      <c r="G21" s="42"/>
    </row>
    <row r="22" spans="1:7" s="47" customFormat="1" ht="24.95" hidden="1" customHeight="1" x14ac:dyDescent="0.25">
      <c r="A22" s="41"/>
      <c r="B22" s="42"/>
      <c r="C22" s="41"/>
      <c r="D22" s="43"/>
      <c r="E22" s="43"/>
      <c r="F22" s="43"/>
      <c r="G22" s="42"/>
    </row>
    <row r="23" spans="1:7" s="47" customFormat="1" ht="24.95" hidden="1" customHeight="1" x14ac:dyDescent="0.25">
      <c r="A23" s="41"/>
      <c r="B23" s="42"/>
      <c r="C23" s="41"/>
      <c r="D23" s="43"/>
      <c r="E23" s="43"/>
      <c r="F23" s="43"/>
      <c r="G23" s="50"/>
    </row>
    <row r="24" spans="1:7" ht="14.25" hidden="1" customHeight="1" x14ac:dyDescent="0.25">
      <c r="A24" s="37"/>
      <c r="B24" s="51"/>
      <c r="C24" s="51"/>
      <c r="D24" s="51"/>
      <c r="E24" s="51"/>
      <c r="F24" s="51"/>
      <c r="G24" s="51"/>
    </row>
    <row r="25" spans="1:7" ht="14.25" hidden="1" customHeight="1" x14ac:dyDescent="0.25">
      <c r="A25" s="37"/>
      <c r="B25" s="51"/>
      <c r="C25" s="51"/>
      <c r="D25" s="51"/>
      <c r="E25" s="51"/>
      <c r="F25" s="51"/>
      <c r="G25" s="51"/>
    </row>
    <row r="26" spans="1:7" ht="14.25" hidden="1" customHeight="1" x14ac:dyDescent="0.25">
      <c r="A26" s="37"/>
      <c r="B26" s="51"/>
      <c r="C26" s="51"/>
      <c r="D26" s="51"/>
      <c r="E26" s="51"/>
      <c r="F26" s="51"/>
      <c r="G26" s="51"/>
    </row>
    <row r="27" spans="1:7" ht="14.25" hidden="1" customHeight="1" x14ac:dyDescent="0.25">
      <c r="A27" s="37"/>
      <c r="B27" s="51"/>
      <c r="C27" s="51"/>
      <c r="D27" s="51"/>
      <c r="E27" s="51"/>
      <c r="F27" s="51"/>
      <c r="G27" s="51"/>
    </row>
    <row r="28" spans="1:7" ht="14.25" hidden="1" customHeight="1" x14ac:dyDescent="0.25">
      <c r="A28" s="37"/>
      <c r="B28" s="51"/>
      <c r="C28" s="51"/>
      <c r="D28" s="51"/>
      <c r="E28" s="51"/>
      <c r="F28" s="51"/>
      <c r="G28" s="51"/>
    </row>
    <row r="29" spans="1:7" ht="14.25" hidden="1" customHeight="1" x14ac:dyDescent="0.25">
      <c r="A29" s="37"/>
      <c r="B29" s="51"/>
      <c r="C29" s="51"/>
      <c r="D29" s="51"/>
      <c r="E29" s="51"/>
      <c r="F29" s="51"/>
      <c r="G29" s="51"/>
    </row>
    <row r="30" spans="1:7" ht="14.25" hidden="1" customHeight="1" x14ac:dyDescent="0.25">
      <c r="A30" s="37"/>
      <c r="B30" s="51"/>
      <c r="C30" s="51"/>
      <c r="D30" s="51"/>
      <c r="E30" s="51"/>
      <c r="F30" s="51"/>
      <c r="G30" s="51"/>
    </row>
    <row r="31" spans="1:7" ht="14.25" hidden="1" customHeight="1" x14ac:dyDescent="0.25">
      <c r="A31" s="37"/>
      <c r="B31" s="51"/>
      <c r="C31" s="51"/>
      <c r="D31" s="51"/>
      <c r="E31" s="51"/>
      <c r="F31" s="51"/>
      <c r="G31" s="51"/>
    </row>
    <row r="32" spans="1:7" ht="14.25" hidden="1" customHeight="1" x14ac:dyDescent="0.25">
      <c r="A32" s="37"/>
      <c r="B32" s="51"/>
      <c r="C32" s="51"/>
      <c r="D32" s="51"/>
      <c r="E32" s="51"/>
      <c r="F32" s="51"/>
      <c r="G32" s="51"/>
    </row>
    <row r="33" spans="1:7" ht="14.25" hidden="1" customHeight="1" x14ac:dyDescent="0.25">
      <c r="A33" s="37"/>
      <c r="B33" s="51"/>
      <c r="C33" s="51"/>
      <c r="D33" s="51"/>
      <c r="E33" s="51"/>
      <c r="F33" s="51"/>
      <c r="G33" s="51"/>
    </row>
    <row r="34" spans="1:7" ht="14.25" hidden="1" customHeight="1" x14ac:dyDescent="0.25">
      <c r="A34" s="37"/>
      <c r="B34" s="51"/>
      <c r="C34" s="51"/>
      <c r="D34" s="51"/>
      <c r="E34" s="51"/>
      <c r="F34" s="51"/>
      <c r="G34" s="51"/>
    </row>
    <row r="35" spans="1:7" ht="14.25" hidden="1" customHeight="1" x14ac:dyDescent="0.25">
      <c r="A35" s="37"/>
      <c r="B35" s="51"/>
      <c r="C35" s="51"/>
      <c r="D35" s="51"/>
      <c r="E35" s="51"/>
      <c r="F35" s="51"/>
      <c r="G35" s="51"/>
    </row>
    <row r="36" spans="1:7" ht="14.25" hidden="1" customHeight="1" x14ac:dyDescent="0.25">
      <c r="A36" s="37"/>
      <c r="B36" s="51"/>
      <c r="C36" s="51"/>
      <c r="D36" s="51"/>
      <c r="E36" s="51"/>
      <c r="F36" s="51"/>
      <c r="G36" s="51"/>
    </row>
    <row r="37" spans="1:7" ht="14.25" hidden="1" customHeight="1" x14ac:dyDescent="0.25">
      <c r="A37" s="37"/>
      <c r="B37" s="51"/>
      <c r="C37" s="51"/>
      <c r="D37" s="51"/>
      <c r="E37" s="51"/>
      <c r="F37" s="51"/>
      <c r="G37" s="51"/>
    </row>
    <row r="38" spans="1:7" ht="14.25" hidden="1" customHeight="1" x14ac:dyDescent="0.25">
      <c r="A38" s="37"/>
      <c r="B38" s="51"/>
      <c r="C38" s="51"/>
      <c r="D38" s="51"/>
      <c r="E38" s="51"/>
      <c r="F38" s="51"/>
      <c r="G38" s="51"/>
    </row>
    <row r="39" spans="1:7" ht="14.25" hidden="1" customHeight="1" x14ac:dyDescent="0.25">
      <c r="A39" s="37"/>
      <c r="B39" s="51"/>
      <c r="C39" s="51"/>
      <c r="D39" s="51"/>
      <c r="E39" s="51"/>
      <c r="F39" s="51"/>
      <c r="G39" s="51"/>
    </row>
    <row r="40" spans="1:7" ht="14.25" hidden="1" customHeight="1" x14ac:dyDescent="0.25">
      <c r="A40" s="37"/>
      <c r="B40" s="51"/>
      <c r="C40" s="51"/>
      <c r="D40" s="51"/>
      <c r="E40" s="51"/>
      <c r="F40" s="51"/>
      <c r="G40" s="51"/>
    </row>
    <row r="41" spans="1:7" ht="14.25" hidden="1" customHeight="1" x14ac:dyDescent="0.25">
      <c r="A41" s="37"/>
      <c r="B41" s="51"/>
      <c r="C41" s="51"/>
      <c r="D41" s="51"/>
      <c r="E41" s="51"/>
      <c r="F41" s="51"/>
      <c r="G41" s="51"/>
    </row>
    <row r="42" spans="1:7" ht="14.25" hidden="1" customHeight="1" x14ac:dyDescent="0.25">
      <c r="A42" s="37"/>
      <c r="B42" s="51"/>
      <c r="C42" s="51"/>
      <c r="D42" s="51"/>
      <c r="E42" s="51"/>
      <c r="F42" s="51"/>
      <c r="G42" s="51"/>
    </row>
    <row r="43" spans="1:7" ht="14.25" hidden="1" customHeight="1" x14ac:dyDescent="0.25">
      <c r="A43" s="37"/>
      <c r="B43" s="51"/>
      <c r="C43" s="51"/>
      <c r="D43" s="51"/>
      <c r="E43" s="51"/>
      <c r="F43" s="51"/>
      <c r="G43" s="51"/>
    </row>
    <row r="44" spans="1:7" ht="14.25" hidden="1" customHeight="1" x14ac:dyDescent="0.25">
      <c r="A44" s="37"/>
      <c r="B44" s="51"/>
      <c r="C44" s="51"/>
      <c r="D44" s="51"/>
      <c r="E44" s="51"/>
      <c r="F44" s="51"/>
      <c r="G44" s="51"/>
    </row>
    <row r="45" spans="1:7" ht="14.25" hidden="1" customHeight="1" x14ac:dyDescent="0.25">
      <c r="A45" s="37"/>
      <c r="B45" s="51"/>
      <c r="C45" s="51"/>
      <c r="D45" s="51"/>
      <c r="E45" s="51"/>
      <c r="F45" s="51"/>
      <c r="G45" s="51"/>
    </row>
    <row r="46" spans="1:7" ht="14.25" hidden="1" customHeight="1" x14ac:dyDescent="0.25">
      <c r="A46" s="37"/>
      <c r="B46" s="51"/>
      <c r="C46" s="51"/>
      <c r="D46" s="51"/>
      <c r="E46" s="51"/>
      <c r="F46" s="51"/>
      <c r="G46" s="51"/>
    </row>
    <row r="47" spans="1:7" ht="14.25" hidden="1" customHeight="1" x14ac:dyDescent="0.25">
      <c r="A47" s="37"/>
      <c r="B47" s="51"/>
      <c r="C47" s="51"/>
      <c r="D47" s="51"/>
      <c r="E47" s="51"/>
      <c r="F47" s="51"/>
      <c r="G47" s="51"/>
    </row>
    <row r="48" spans="1:7" ht="14.25" hidden="1" customHeight="1" x14ac:dyDescent="0.25">
      <c r="A48" s="37"/>
      <c r="B48" s="51"/>
      <c r="C48" s="51"/>
      <c r="D48" s="51"/>
      <c r="E48" s="51"/>
      <c r="F48" s="51"/>
      <c r="G48" s="51"/>
    </row>
    <row r="49" spans="1:7" ht="14.25" hidden="1" customHeight="1" x14ac:dyDescent="0.25">
      <c r="A49" s="37"/>
      <c r="B49" s="51"/>
      <c r="C49" s="51"/>
      <c r="D49" s="51"/>
      <c r="E49" s="51"/>
      <c r="F49" s="51"/>
      <c r="G49" s="51"/>
    </row>
    <row r="50" spans="1:7" ht="14.25" hidden="1" customHeight="1" x14ac:dyDescent="0.25">
      <c r="A50" s="37"/>
      <c r="B50" s="51"/>
      <c r="C50" s="51"/>
      <c r="D50" s="51"/>
      <c r="E50" s="51"/>
      <c r="F50" s="51"/>
      <c r="G50" s="51"/>
    </row>
    <row r="51" spans="1:7" ht="14.25" hidden="1" customHeight="1" x14ac:dyDescent="0.25">
      <c r="A51" s="37"/>
      <c r="B51" s="51"/>
      <c r="C51" s="51"/>
      <c r="D51" s="51"/>
      <c r="E51" s="51"/>
      <c r="F51" s="51"/>
      <c r="G51" s="51"/>
    </row>
    <row r="52" spans="1:7" ht="14.25" hidden="1" customHeight="1" x14ac:dyDescent="0.25">
      <c r="A52" s="37"/>
      <c r="B52" s="51"/>
      <c r="C52" s="51"/>
      <c r="D52" s="51"/>
      <c r="E52" s="51"/>
      <c r="F52" s="51"/>
      <c r="G52" s="51"/>
    </row>
    <row r="53" spans="1:7" ht="14.25" hidden="1" customHeight="1" x14ac:dyDescent="0.25">
      <c r="A53" s="37"/>
      <c r="B53" s="51"/>
      <c r="C53" s="51"/>
      <c r="D53" s="51"/>
      <c r="E53" s="51"/>
      <c r="F53" s="51"/>
      <c r="G53" s="51"/>
    </row>
    <row r="54" spans="1:7" ht="14.25" hidden="1" customHeight="1" x14ac:dyDescent="0.25">
      <c r="A54" s="37"/>
      <c r="B54" s="51"/>
      <c r="C54" s="51"/>
      <c r="D54" s="51"/>
      <c r="E54" s="51"/>
      <c r="F54" s="51"/>
      <c r="G54" s="51"/>
    </row>
    <row r="55" spans="1:7" ht="14.25" hidden="1" customHeight="1" x14ac:dyDescent="0.25">
      <c r="A55" s="37"/>
      <c r="B55" s="51"/>
      <c r="C55" s="51"/>
      <c r="D55" s="51"/>
      <c r="E55" s="51"/>
      <c r="F55" s="51"/>
      <c r="G55" s="51"/>
    </row>
    <row r="56" spans="1:7" ht="14.25" hidden="1" customHeight="1" x14ac:dyDescent="0.25">
      <c r="A56" s="37"/>
      <c r="B56" s="51"/>
      <c r="C56" s="51"/>
      <c r="D56" s="51"/>
      <c r="E56" s="51"/>
      <c r="F56" s="51"/>
      <c r="G56" s="51"/>
    </row>
    <row r="57" spans="1:7" ht="14.25" hidden="1" customHeight="1" x14ac:dyDescent="0.25">
      <c r="A57" s="37"/>
      <c r="B57" s="51"/>
      <c r="C57" s="51"/>
      <c r="D57" s="51"/>
      <c r="E57" s="51"/>
      <c r="F57" s="51"/>
      <c r="G57" s="51"/>
    </row>
    <row r="58" spans="1:7" ht="14.25" hidden="1" customHeight="1" x14ac:dyDescent="0.25">
      <c r="A58" s="37"/>
      <c r="B58" s="51"/>
      <c r="C58" s="51"/>
      <c r="D58" s="51"/>
      <c r="E58" s="51"/>
      <c r="F58" s="51"/>
      <c r="G58" s="51"/>
    </row>
    <row r="59" spans="1:7" ht="14.25" hidden="1" customHeight="1" x14ac:dyDescent="0.25">
      <c r="A59" s="37"/>
      <c r="B59" s="51"/>
      <c r="C59" s="51"/>
      <c r="D59" s="51"/>
      <c r="E59" s="51"/>
      <c r="F59" s="51"/>
      <c r="G59" s="51"/>
    </row>
    <row r="60" spans="1:7" ht="14.25" hidden="1" customHeight="1" x14ac:dyDescent="0.25">
      <c r="A60" s="37"/>
      <c r="B60" s="51"/>
      <c r="C60" s="51"/>
      <c r="D60" s="51"/>
      <c r="E60" s="51"/>
      <c r="F60" s="51"/>
      <c r="G60" s="51"/>
    </row>
    <row r="61" spans="1:7" ht="14.25" hidden="1" customHeight="1" x14ac:dyDescent="0.25">
      <c r="A61" s="37"/>
      <c r="B61" s="51"/>
      <c r="C61" s="51"/>
      <c r="D61" s="51"/>
      <c r="E61" s="51"/>
      <c r="F61" s="51"/>
      <c r="G61" s="51"/>
    </row>
    <row r="62" spans="1:7" ht="14.25" hidden="1" customHeight="1" x14ac:dyDescent="0.25">
      <c r="A62" s="37"/>
      <c r="B62" s="51"/>
      <c r="C62" s="51"/>
      <c r="D62" s="51"/>
      <c r="E62" s="51"/>
      <c r="F62" s="51"/>
      <c r="G62" s="51"/>
    </row>
    <row r="63" spans="1:7" ht="14.25" hidden="1" customHeight="1" x14ac:dyDescent="0.25">
      <c r="A63" s="37"/>
      <c r="B63" s="51"/>
      <c r="C63" s="51"/>
      <c r="D63" s="51"/>
      <c r="E63" s="51"/>
      <c r="F63" s="51"/>
      <c r="G63" s="51"/>
    </row>
    <row r="64" spans="1:7" ht="14.25" hidden="1" customHeight="1" x14ac:dyDescent="0.25">
      <c r="A64" s="37"/>
      <c r="B64" s="51"/>
      <c r="C64" s="51"/>
      <c r="D64" s="51"/>
      <c r="E64" s="51"/>
      <c r="F64" s="51"/>
      <c r="G64" s="51"/>
    </row>
    <row r="65" spans="1:7" ht="14.25" hidden="1" customHeight="1" x14ac:dyDescent="0.25">
      <c r="A65" s="37"/>
      <c r="B65" s="51"/>
      <c r="C65" s="51"/>
      <c r="D65" s="51"/>
      <c r="E65" s="51"/>
      <c r="F65" s="51"/>
      <c r="G65" s="51"/>
    </row>
    <row r="66" spans="1:7" ht="14.25" hidden="1" customHeight="1" x14ac:dyDescent="0.25">
      <c r="A66" s="37"/>
      <c r="B66" s="51"/>
      <c r="C66" s="51"/>
      <c r="D66" s="51"/>
      <c r="E66" s="51"/>
      <c r="F66" s="51"/>
      <c r="G66" s="51"/>
    </row>
    <row r="67" spans="1:7" ht="14.25" hidden="1" customHeight="1" x14ac:dyDescent="0.25">
      <c r="A67" s="37"/>
      <c r="B67" s="51"/>
      <c r="C67" s="51"/>
      <c r="D67" s="51"/>
      <c r="E67" s="51"/>
      <c r="F67" s="51"/>
      <c r="G67" s="51"/>
    </row>
    <row r="68" spans="1:7" ht="14.25" hidden="1" customHeight="1" x14ac:dyDescent="0.25">
      <c r="A68" s="37"/>
      <c r="B68" s="51"/>
      <c r="C68" s="51"/>
      <c r="D68" s="51"/>
      <c r="E68" s="51"/>
      <c r="F68" s="51"/>
      <c r="G68" s="51"/>
    </row>
    <row r="69" spans="1:7" ht="14.25" hidden="1" customHeight="1" x14ac:dyDescent="0.25">
      <c r="A69" s="37"/>
      <c r="B69" s="51"/>
      <c r="C69" s="51"/>
      <c r="D69" s="51"/>
      <c r="E69" s="51"/>
      <c r="F69" s="51"/>
      <c r="G69" s="51"/>
    </row>
    <row r="70" spans="1:7" ht="14.25" hidden="1" customHeight="1" x14ac:dyDescent="0.25">
      <c r="A70" s="37"/>
      <c r="B70" s="51"/>
      <c r="C70" s="51"/>
      <c r="D70" s="51"/>
      <c r="E70" s="51"/>
      <c r="F70" s="51"/>
      <c r="G70" s="51"/>
    </row>
    <row r="71" spans="1:7" ht="14.25" hidden="1" customHeight="1" x14ac:dyDescent="0.25">
      <c r="A71" s="37"/>
      <c r="B71" s="51"/>
      <c r="C71" s="51"/>
      <c r="D71" s="51"/>
      <c r="E71" s="51"/>
      <c r="F71" s="51"/>
      <c r="G71" s="51"/>
    </row>
    <row r="72" spans="1:7" ht="14.25" hidden="1" customHeight="1" x14ac:dyDescent="0.25">
      <c r="A72" s="37"/>
      <c r="B72" s="51"/>
      <c r="C72" s="51"/>
      <c r="D72" s="51"/>
      <c r="E72" s="51"/>
      <c r="F72" s="51"/>
      <c r="G72" s="51"/>
    </row>
    <row r="73" spans="1:7" ht="14.25" hidden="1" customHeight="1" x14ac:dyDescent="0.25">
      <c r="A73" s="37"/>
      <c r="B73" s="51"/>
      <c r="C73" s="51"/>
      <c r="D73" s="51"/>
      <c r="E73" s="51"/>
      <c r="F73" s="51"/>
      <c r="G73" s="51"/>
    </row>
    <row r="74" spans="1:7" ht="14.25" hidden="1" customHeight="1" x14ac:dyDescent="0.25">
      <c r="A74" s="37"/>
      <c r="B74" s="51"/>
      <c r="C74" s="51"/>
      <c r="D74" s="51"/>
      <c r="E74" s="51"/>
      <c r="F74" s="51"/>
      <c r="G74" s="51"/>
    </row>
    <row r="75" spans="1:7" ht="14.25" hidden="1" customHeight="1" x14ac:dyDescent="0.25">
      <c r="A75" s="37"/>
      <c r="B75" s="51"/>
      <c r="C75" s="51"/>
      <c r="D75" s="51"/>
      <c r="E75" s="51"/>
      <c r="F75" s="51"/>
      <c r="G75" s="51"/>
    </row>
    <row r="76" spans="1:7" ht="14.25" hidden="1" customHeight="1" x14ac:dyDescent="0.25">
      <c r="A76" s="37"/>
      <c r="B76" s="51"/>
      <c r="C76" s="51"/>
      <c r="D76" s="51"/>
      <c r="E76" s="51"/>
      <c r="F76" s="51"/>
      <c r="G76" s="51"/>
    </row>
    <row r="77" spans="1:7" ht="14.25" hidden="1" customHeight="1" x14ac:dyDescent="0.25">
      <c r="A77" s="37"/>
      <c r="B77" s="51"/>
      <c r="C77" s="51"/>
      <c r="D77" s="51"/>
      <c r="E77" s="51"/>
      <c r="F77" s="51"/>
      <c r="G77" s="51"/>
    </row>
    <row r="78" spans="1:7" ht="14.25" hidden="1" customHeight="1" x14ac:dyDescent="0.25">
      <c r="A78" s="37"/>
      <c r="B78" s="51"/>
      <c r="C78" s="51"/>
      <c r="D78" s="51"/>
      <c r="E78" s="51"/>
      <c r="F78" s="51"/>
      <c r="G78" s="51"/>
    </row>
    <row r="79" spans="1:7" ht="14.25" hidden="1" customHeight="1" x14ac:dyDescent="0.25">
      <c r="A79" s="37"/>
      <c r="B79" s="51"/>
      <c r="C79" s="51"/>
      <c r="D79" s="51"/>
      <c r="E79" s="51"/>
      <c r="F79" s="51"/>
      <c r="G79" s="51"/>
    </row>
    <row r="80" spans="1:7" ht="14.25" hidden="1" customHeight="1" x14ac:dyDescent="0.25">
      <c r="A80" s="37"/>
      <c r="B80" s="51"/>
      <c r="C80" s="51"/>
      <c r="D80" s="51"/>
      <c r="E80" s="51"/>
      <c r="F80" s="51"/>
      <c r="G80" s="51"/>
    </row>
    <row r="81" spans="1:7" ht="14.25" hidden="1" customHeight="1" x14ac:dyDescent="0.25">
      <c r="A81" s="37"/>
      <c r="B81" s="51"/>
      <c r="C81" s="51"/>
      <c r="D81" s="51"/>
      <c r="E81" s="51"/>
      <c r="F81" s="51"/>
      <c r="G81" s="51"/>
    </row>
    <row r="82" spans="1:7" ht="14.25" hidden="1" customHeight="1" x14ac:dyDescent="0.25">
      <c r="A82" s="37"/>
      <c r="B82" s="51"/>
      <c r="C82" s="51"/>
      <c r="D82" s="51"/>
      <c r="E82" s="51"/>
      <c r="F82" s="51"/>
      <c r="G82" s="51"/>
    </row>
    <row r="83" spans="1:7" ht="14.25" hidden="1" customHeight="1" x14ac:dyDescent="0.25">
      <c r="A83" s="37"/>
      <c r="B83" s="51"/>
      <c r="C83" s="51"/>
      <c r="D83" s="51"/>
      <c r="E83" s="51"/>
      <c r="F83" s="51"/>
      <c r="G83" s="51"/>
    </row>
    <row r="84" spans="1:7" ht="14.25" hidden="1" customHeight="1" x14ac:dyDescent="0.25">
      <c r="A84" s="37"/>
      <c r="B84" s="51"/>
      <c r="C84" s="51"/>
      <c r="D84" s="51"/>
      <c r="E84" s="51"/>
      <c r="F84" s="51"/>
      <c r="G84" s="51"/>
    </row>
    <row r="85" spans="1:7" ht="14.25" hidden="1" customHeight="1" x14ac:dyDescent="0.25">
      <c r="A85" s="37"/>
      <c r="B85" s="51"/>
      <c r="C85" s="51"/>
      <c r="D85" s="51"/>
      <c r="E85" s="51"/>
      <c r="F85" s="51"/>
      <c r="G85" s="51"/>
    </row>
    <row r="86" spans="1:7" ht="14.25" hidden="1" customHeight="1" x14ac:dyDescent="0.25">
      <c r="A86" s="37"/>
      <c r="B86" s="51"/>
      <c r="C86" s="51"/>
      <c r="D86" s="51"/>
      <c r="E86" s="51"/>
      <c r="F86" s="51"/>
      <c r="G86" s="51"/>
    </row>
    <row r="87" spans="1:7" ht="14.25" hidden="1" customHeight="1" x14ac:dyDescent="0.25">
      <c r="A87" s="37"/>
      <c r="B87" s="51"/>
      <c r="C87" s="51"/>
      <c r="D87" s="51"/>
      <c r="E87" s="51"/>
      <c r="F87" s="51"/>
      <c r="G87" s="51"/>
    </row>
    <row r="88" spans="1:7" ht="14.25" hidden="1" customHeight="1" x14ac:dyDescent="0.25">
      <c r="A88" s="37"/>
      <c r="B88" s="51"/>
      <c r="C88" s="51"/>
      <c r="D88" s="51"/>
      <c r="E88" s="51"/>
      <c r="F88" s="51"/>
      <c r="G88" s="51"/>
    </row>
    <row r="89" spans="1:7" ht="14.25" hidden="1" customHeight="1" x14ac:dyDescent="0.25">
      <c r="A89" s="37"/>
      <c r="B89" s="51"/>
      <c r="C89" s="51"/>
      <c r="D89" s="51"/>
      <c r="E89" s="51"/>
      <c r="F89" s="51"/>
      <c r="G89" s="51"/>
    </row>
    <row r="90" spans="1:7" ht="14.25" hidden="1" customHeight="1" x14ac:dyDescent="0.25">
      <c r="A90" s="37"/>
      <c r="B90" s="51"/>
      <c r="C90" s="51"/>
      <c r="D90" s="51"/>
      <c r="E90" s="51"/>
      <c r="F90" s="51"/>
      <c r="G90" s="51"/>
    </row>
    <row r="91" spans="1:7" ht="14.25" hidden="1" customHeight="1" x14ac:dyDescent="0.25">
      <c r="A91" s="37"/>
      <c r="B91" s="51"/>
      <c r="C91" s="51"/>
      <c r="D91" s="51"/>
      <c r="E91" s="51"/>
      <c r="F91" s="51"/>
      <c r="G91" s="51"/>
    </row>
    <row r="92" spans="1:7" ht="14.25" hidden="1" customHeight="1" x14ac:dyDescent="0.25">
      <c r="A92" s="37"/>
      <c r="B92" s="51"/>
      <c r="C92" s="51"/>
      <c r="D92" s="51"/>
      <c r="E92" s="51"/>
      <c r="F92" s="51"/>
      <c r="G92" s="51"/>
    </row>
    <row r="93" spans="1:7" ht="14.25" hidden="1" customHeight="1" x14ac:dyDescent="0.25">
      <c r="A93" s="37"/>
      <c r="B93" s="51"/>
      <c r="C93" s="51"/>
      <c r="D93" s="51"/>
      <c r="E93" s="51"/>
      <c r="F93" s="51"/>
      <c r="G93" s="51"/>
    </row>
    <row r="94" spans="1:7" ht="14.25" hidden="1" customHeight="1" x14ac:dyDescent="0.25">
      <c r="A94" s="37"/>
      <c r="B94" s="51"/>
      <c r="C94" s="51"/>
      <c r="D94" s="51"/>
      <c r="E94" s="51"/>
      <c r="F94" s="51"/>
      <c r="G94" s="51"/>
    </row>
    <row r="95" spans="1:7" ht="14.25" hidden="1" customHeight="1" x14ac:dyDescent="0.25">
      <c r="A95" s="37"/>
      <c r="B95" s="51"/>
      <c r="C95" s="51"/>
      <c r="D95" s="51"/>
      <c r="E95" s="51"/>
      <c r="F95" s="51"/>
      <c r="G95" s="51"/>
    </row>
    <row r="96" spans="1:7" ht="14.25" hidden="1" customHeight="1" x14ac:dyDescent="0.25">
      <c r="A96" s="37"/>
      <c r="B96" s="51"/>
      <c r="C96" s="51"/>
      <c r="D96" s="51"/>
      <c r="E96" s="51"/>
      <c r="F96" s="51"/>
      <c r="G96" s="51"/>
    </row>
    <row r="97" spans="1:7" ht="14.25" hidden="1" customHeight="1" x14ac:dyDescent="0.25">
      <c r="A97" s="37"/>
      <c r="B97" s="51"/>
      <c r="C97" s="51"/>
      <c r="D97" s="51"/>
      <c r="E97" s="51"/>
      <c r="F97" s="51"/>
      <c r="G97" s="51"/>
    </row>
    <row r="98" spans="1:7" ht="14.25" hidden="1" customHeight="1" x14ac:dyDescent="0.25">
      <c r="A98" s="37"/>
      <c r="B98" s="51"/>
      <c r="C98" s="51"/>
      <c r="D98" s="51"/>
      <c r="E98" s="51"/>
      <c r="F98" s="51"/>
      <c r="G98" s="51"/>
    </row>
    <row r="99" spans="1:7" ht="14.25" hidden="1" customHeight="1" x14ac:dyDescent="0.25">
      <c r="A99" s="37"/>
      <c r="B99" s="51"/>
      <c r="C99" s="51"/>
      <c r="D99" s="51"/>
      <c r="E99" s="51"/>
      <c r="F99" s="51"/>
      <c r="G99" s="51"/>
    </row>
    <row r="100" spans="1:7" ht="14.25" hidden="1" customHeight="1" x14ac:dyDescent="0.25">
      <c r="A100" s="37"/>
      <c r="B100" s="51"/>
      <c r="C100" s="51"/>
      <c r="D100" s="51"/>
      <c r="E100" s="51"/>
      <c r="F100" s="51"/>
      <c r="G100" s="51"/>
    </row>
    <row r="101" spans="1:7" ht="14.25" hidden="1" customHeight="1" x14ac:dyDescent="0.25">
      <c r="A101" s="37"/>
      <c r="B101" s="51"/>
      <c r="C101" s="51"/>
      <c r="D101" s="51"/>
      <c r="E101" s="51"/>
      <c r="F101" s="51"/>
      <c r="G101" s="51"/>
    </row>
    <row r="102" spans="1:7" ht="14.25" hidden="1" customHeight="1" x14ac:dyDescent="0.25">
      <c r="A102" s="37"/>
      <c r="B102" s="51"/>
      <c r="C102" s="51"/>
      <c r="D102" s="51"/>
      <c r="E102" s="51"/>
      <c r="F102" s="51"/>
      <c r="G102" s="51"/>
    </row>
    <row r="103" spans="1:7" ht="14.25" hidden="1" customHeight="1" x14ac:dyDescent="0.25">
      <c r="A103" s="37"/>
      <c r="B103" s="51"/>
      <c r="C103" s="51"/>
      <c r="D103" s="51"/>
      <c r="E103" s="51"/>
      <c r="F103" s="51"/>
      <c r="G103" s="51"/>
    </row>
    <row r="104" spans="1:7" ht="14.25" hidden="1" customHeight="1" x14ac:dyDescent="0.25">
      <c r="A104" s="37"/>
      <c r="B104" s="51"/>
      <c r="C104" s="51"/>
      <c r="D104" s="51"/>
      <c r="E104" s="51"/>
      <c r="F104" s="51"/>
      <c r="G104" s="51"/>
    </row>
    <row r="105" spans="1:7" ht="14.25" hidden="1" customHeight="1" x14ac:dyDescent="0.25">
      <c r="A105" s="37"/>
      <c r="B105" s="51"/>
      <c r="C105" s="51"/>
      <c r="D105" s="51"/>
      <c r="E105" s="51"/>
      <c r="F105" s="51"/>
      <c r="G105" s="51"/>
    </row>
    <row r="106" spans="1:7" ht="14.25" hidden="1" customHeight="1" x14ac:dyDescent="0.25">
      <c r="A106" s="37"/>
      <c r="B106" s="51"/>
      <c r="C106" s="51"/>
      <c r="D106" s="51"/>
      <c r="E106" s="51"/>
      <c r="F106" s="51"/>
      <c r="G106" s="51"/>
    </row>
    <row r="107" spans="1:7" ht="14.25" hidden="1" customHeight="1" x14ac:dyDescent="0.25">
      <c r="A107" s="37"/>
      <c r="B107" s="51"/>
      <c r="C107" s="51"/>
      <c r="D107" s="51"/>
      <c r="E107" s="51"/>
      <c r="F107" s="51"/>
      <c r="G107" s="51"/>
    </row>
    <row r="108" spans="1:7" ht="14.25" hidden="1" customHeight="1" x14ac:dyDescent="0.25">
      <c r="A108" s="37"/>
      <c r="B108" s="51"/>
      <c r="C108" s="51"/>
      <c r="D108" s="51"/>
      <c r="E108" s="51"/>
      <c r="F108" s="51"/>
      <c r="G108" s="51"/>
    </row>
    <row r="109" spans="1:7" ht="14.25" hidden="1" customHeight="1" x14ac:dyDescent="0.25">
      <c r="A109" s="37"/>
      <c r="B109" s="51"/>
      <c r="C109" s="51"/>
      <c r="D109" s="51"/>
      <c r="E109" s="51"/>
      <c r="F109" s="51"/>
      <c r="G109" s="51"/>
    </row>
    <row r="110" spans="1:7" ht="14.25" hidden="1" customHeight="1" x14ac:dyDescent="0.25">
      <c r="A110" s="37"/>
      <c r="B110" s="51"/>
      <c r="C110" s="51"/>
      <c r="D110" s="51"/>
      <c r="E110" s="51"/>
      <c r="F110" s="51"/>
      <c r="G110" s="51"/>
    </row>
    <row r="111" spans="1:7" ht="14.25" hidden="1" customHeight="1" x14ac:dyDescent="0.25">
      <c r="A111" s="37"/>
      <c r="B111" s="51"/>
      <c r="C111" s="51"/>
      <c r="D111" s="51"/>
      <c r="E111" s="51"/>
      <c r="F111" s="51"/>
      <c r="G111" s="51"/>
    </row>
    <row r="112" spans="1:7" ht="14.25" hidden="1" customHeight="1" x14ac:dyDescent="0.25">
      <c r="A112" s="37"/>
      <c r="B112" s="51"/>
      <c r="C112" s="51"/>
      <c r="D112" s="51"/>
      <c r="E112" s="51"/>
      <c r="F112" s="51"/>
      <c r="G112" s="51"/>
    </row>
    <row r="113" spans="1:7" ht="14.25" hidden="1" customHeight="1" x14ac:dyDescent="0.25">
      <c r="A113" s="37"/>
      <c r="B113" s="51"/>
      <c r="C113" s="51"/>
      <c r="D113" s="51"/>
      <c r="E113" s="51"/>
      <c r="F113" s="51"/>
      <c r="G113" s="51"/>
    </row>
    <row r="114" spans="1:7" ht="14.25" hidden="1" customHeight="1" x14ac:dyDescent="0.25">
      <c r="A114" s="37"/>
      <c r="B114" s="51"/>
      <c r="C114" s="51"/>
      <c r="D114" s="51"/>
      <c r="E114" s="51"/>
      <c r="F114" s="51"/>
      <c r="G114" s="51"/>
    </row>
    <row r="115" spans="1:7" ht="14.25" hidden="1" customHeight="1" x14ac:dyDescent="0.25">
      <c r="A115" s="37"/>
      <c r="B115" s="51"/>
      <c r="C115" s="51"/>
      <c r="D115" s="51"/>
      <c r="E115" s="51"/>
      <c r="F115" s="51"/>
      <c r="G115" s="51"/>
    </row>
    <row r="116" spans="1:7" ht="14.25" hidden="1" customHeight="1" x14ac:dyDescent="0.25">
      <c r="A116" s="37"/>
      <c r="B116" s="51"/>
      <c r="C116" s="51"/>
      <c r="D116" s="51"/>
      <c r="E116" s="51"/>
      <c r="F116" s="51"/>
      <c r="G116" s="51"/>
    </row>
    <row r="117" spans="1:7" ht="14.25" hidden="1" customHeight="1" x14ac:dyDescent="0.25">
      <c r="A117" s="37"/>
      <c r="B117" s="51"/>
      <c r="C117" s="51"/>
      <c r="D117" s="51"/>
      <c r="E117" s="51"/>
      <c r="F117" s="51"/>
      <c r="G117" s="51"/>
    </row>
    <row r="118" spans="1:7" ht="14.25" hidden="1" customHeight="1" x14ac:dyDescent="0.25">
      <c r="A118" s="37"/>
      <c r="B118" s="51"/>
      <c r="C118" s="51"/>
      <c r="D118" s="51"/>
      <c r="E118" s="51"/>
      <c r="F118" s="51"/>
      <c r="G118" s="51"/>
    </row>
    <row r="119" spans="1:7" ht="14.25" hidden="1" customHeight="1" x14ac:dyDescent="0.25">
      <c r="A119" s="37"/>
      <c r="B119" s="51"/>
      <c r="C119" s="51"/>
      <c r="D119" s="51"/>
      <c r="E119" s="51"/>
      <c r="F119" s="51"/>
      <c r="G119" s="51"/>
    </row>
    <row r="120" spans="1:7" ht="14.25" hidden="1" customHeight="1" x14ac:dyDescent="0.25">
      <c r="A120" s="37"/>
      <c r="B120" s="51"/>
      <c r="C120" s="51"/>
      <c r="D120" s="51"/>
      <c r="E120" s="51"/>
      <c r="F120" s="51"/>
      <c r="G120" s="51"/>
    </row>
    <row r="121" spans="1:7" ht="14.25" hidden="1" customHeight="1" x14ac:dyDescent="0.25">
      <c r="A121" s="37"/>
      <c r="B121" s="51"/>
      <c r="C121" s="51"/>
      <c r="D121" s="51"/>
      <c r="E121" s="51"/>
      <c r="F121" s="51"/>
      <c r="G121" s="51"/>
    </row>
    <row r="122" spans="1:7" ht="14.25" hidden="1" customHeight="1" x14ac:dyDescent="0.25">
      <c r="A122" s="37"/>
      <c r="B122" s="51"/>
      <c r="C122" s="51"/>
      <c r="D122" s="51"/>
      <c r="E122" s="51"/>
      <c r="F122" s="51"/>
      <c r="G122" s="51"/>
    </row>
    <row r="123" spans="1:7" ht="14.25" hidden="1" customHeight="1" x14ac:dyDescent="0.25">
      <c r="A123" s="37"/>
      <c r="B123" s="51"/>
      <c r="C123" s="51"/>
      <c r="D123" s="51"/>
      <c r="E123" s="51"/>
      <c r="F123" s="51"/>
      <c r="G123" s="51"/>
    </row>
    <row r="124" spans="1:7" ht="14.25" hidden="1" customHeight="1" x14ac:dyDescent="0.25">
      <c r="A124" s="37"/>
      <c r="B124" s="51"/>
      <c r="C124" s="51"/>
      <c r="D124" s="51"/>
      <c r="E124" s="51"/>
      <c r="F124" s="51"/>
      <c r="G124" s="51"/>
    </row>
    <row r="125" spans="1:7" ht="14.25" hidden="1" customHeight="1" x14ac:dyDescent="0.25">
      <c r="A125" s="37"/>
      <c r="B125" s="51"/>
      <c r="C125" s="51"/>
      <c r="D125" s="51"/>
      <c r="E125" s="51"/>
      <c r="F125" s="51"/>
      <c r="G125" s="51"/>
    </row>
    <row r="126" spans="1:7" ht="14.25" hidden="1" customHeight="1" x14ac:dyDescent="0.25">
      <c r="A126" s="37"/>
      <c r="B126" s="51"/>
      <c r="C126" s="51"/>
      <c r="D126" s="51"/>
      <c r="E126" s="51"/>
      <c r="F126" s="51"/>
      <c r="G126" s="51"/>
    </row>
    <row r="127" spans="1:7" ht="14.25" hidden="1" customHeight="1" x14ac:dyDescent="0.25">
      <c r="A127" s="37"/>
      <c r="B127" s="51"/>
      <c r="C127" s="51"/>
      <c r="D127" s="51"/>
      <c r="E127" s="51"/>
      <c r="F127" s="51"/>
      <c r="G127" s="51"/>
    </row>
    <row r="128" spans="1:7" ht="14.25" hidden="1" customHeight="1" x14ac:dyDescent="0.25">
      <c r="A128" s="37"/>
      <c r="B128" s="51"/>
      <c r="C128" s="51"/>
      <c r="D128" s="51"/>
      <c r="E128" s="51"/>
      <c r="F128" s="51"/>
      <c r="G128" s="51"/>
    </row>
    <row r="129" spans="1:7" ht="14.25" hidden="1" customHeight="1" x14ac:dyDescent="0.25">
      <c r="A129" s="37"/>
      <c r="B129" s="51"/>
      <c r="C129" s="51"/>
      <c r="D129" s="51"/>
      <c r="E129" s="51"/>
      <c r="F129" s="51"/>
      <c r="G129" s="51"/>
    </row>
    <row r="130" spans="1:7" ht="14.25" hidden="1" customHeight="1" x14ac:dyDescent="0.25">
      <c r="A130" s="37"/>
      <c r="B130" s="51"/>
      <c r="C130" s="51"/>
      <c r="D130" s="51"/>
      <c r="E130" s="51"/>
      <c r="F130" s="51"/>
      <c r="G130" s="51"/>
    </row>
    <row r="131" spans="1:7" ht="25.5" customHeight="1" x14ac:dyDescent="0.25"/>
  </sheetData>
  <mergeCells count="1">
    <mergeCell ref="A2:E2"/>
  </mergeCells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A490-998B-44B1-8F42-C5E5974B07CB}">
  <dimension ref="A1:H345"/>
  <sheetViews>
    <sheetView topLeftCell="C1" workbookViewId="0">
      <selection activeCell="H174" sqref="H174:H187"/>
    </sheetView>
  </sheetViews>
  <sheetFormatPr defaultColWidth="8.85546875" defaultRowHeight="15" x14ac:dyDescent="0.25"/>
  <cols>
    <col min="2" max="2" width="15.42578125" customWidth="1"/>
    <col min="3" max="3" width="16.42578125" customWidth="1"/>
    <col min="4" max="4" width="15.28515625" customWidth="1"/>
    <col min="6" max="6" width="17.140625" customWidth="1"/>
    <col min="8" max="8" width="18.140625" customWidth="1"/>
  </cols>
  <sheetData>
    <row r="1" spans="1:8" ht="23.25" x14ac:dyDescent="0.35">
      <c r="A1" s="88" t="s">
        <v>116</v>
      </c>
      <c r="B1" s="88"/>
      <c r="C1" s="88"/>
      <c r="D1" s="88"/>
      <c r="E1" s="88"/>
      <c r="F1" s="88"/>
      <c r="G1" s="88"/>
      <c r="H1" s="88"/>
    </row>
    <row r="2" spans="1:8" ht="23.25" x14ac:dyDescent="0.35">
      <c r="A2" s="89" t="s">
        <v>117</v>
      </c>
      <c r="B2" s="89"/>
      <c r="C2" s="89"/>
      <c r="D2" s="89"/>
      <c r="E2" s="89"/>
      <c r="F2" s="89"/>
      <c r="G2" s="89"/>
      <c r="H2" s="89"/>
    </row>
    <row r="3" spans="1:8" ht="18.75" x14ac:dyDescent="0.3">
      <c r="A3" s="90" t="s">
        <v>118</v>
      </c>
      <c r="B3" s="90"/>
      <c r="C3" s="90"/>
      <c r="D3" t="s">
        <v>175</v>
      </c>
      <c r="E3" s="91"/>
      <c r="F3" s="91"/>
      <c r="G3" s="90" t="s">
        <v>177</v>
      </c>
      <c r="H3" s="90"/>
    </row>
    <row r="4" spans="1:8" ht="21" x14ac:dyDescent="0.35">
      <c r="A4" s="86" t="s">
        <v>119</v>
      </c>
      <c r="B4" s="86"/>
      <c r="C4" s="86"/>
      <c r="D4" s="62"/>
      <c r="E4" s="62"/>
      <c r="F4" s="62"/>
      <c r="G4" s="76" t="s">
        <v>176</v>
      </c>
      <c r="H4" s="75"/>
    </row>
    <row r="5" spans="1:8" hidden="1" x14ac:dyDescent="0.25">
      <c r="A5" s="92">
        <v>1</v>
      </c>
      <c r="B5" s="87" t="s">
        <v>136</v>
      </c>
      <c r="C5" s="87" t="s">
        <v>137</v>
      </c>
      <c r="D5" s="93">
        <v>30</v>
      </c>
      <c r="E5" s="25" t="s">
        <v>32</v>
      </c>
      <c r="F5" s="20"/>
      <c r="G5" s="25" t="s">
        <v>47</v>
      </c>
      <c r="H5" s="20" t="s">
        <v>153</v>
      </c>
    </row>
    <row r="6" spans="1:8" hidden="1" x14ac:dyDescent="0.25">
      <c r="A6" s="92"/>
      <c r="B6" s="87"/>
      <c r="C6" s="87"/>
      <c r="D6" s="93"/>
      <c r="E6" s="25" t="s">
        <v>33</v>
      </c>
      <c r="F6" s="20"/>
      <c r="G6" s="25" t="s">
        <v>48</v>
      </c>
      <c r="H6" s="20"/>
    </row>
    <row r="7" spans="1:8" hidden="1" x14ac:dyDescent="0.25">
      <c r="A7" s="92"/>
      <c r="B7" s="87"/>
      <c r="C7" s="87"/>
      <c r="D7" s="93"/>
      <c r="E7" s="25" t="s">
        <v>34</v>
      </c>
      <c r="F7" s="20"/>
      <c r="G7" s="25" t="s">
        <v>49</v>
      </c>
      <c r="H7" s="20"/>
    </row>
    <row r="8" spans="1:8" hidden="1" x14ac:dyDescent="0.25">
      <c r="A8" s="92"/>
      <c r="B8" s="87"/>
      <c r="C8" s="87"/>
      <c r="D8" s="93"/>
      <c r="E8" s="25" t="s">
        <v>35</v>
      </c>
      <c r="F8" s="20"/>
      <c r="G8" s="25" t="s">
        <v>50</v>
      </c>
      <c r="H8" s="20"/>
    </row>
    <row r="9" spans="1:8" hidden="1" x14ac:dyDescent="0.25">
      <c r="A9" s="92"/>
      <c r="B9" s="87"/>
      <c r="C9" s="87"/>
      <c r="D9" s="93"/>
      <c r="E9" s="25" t="s">
        <v>36</v>
      </c>
      <c r="F9" s="20"/>
      <c r="G9" s="25" t="s">
        <v>51</v>
      </c>
      <c r="H9" s="20"/>
    </row>
    <row r="10" spans="1:8" hidden="1" x14ac:dyDescent="0.25">
      <c r="A10" s="92"/>
      <c r="B10" s="87"/>
      <c r="C10" s="87"/>
      <c r="D10" s="93"/>
      <c r="E10" s="25" t="s">
        <v>37</v>
      </c>
      <c r="F10" s="20"/>
      <c r="G10" s="25" t="s">
        <v>46</v>
      </c>
      <c r="H10" s="20"/>
    </row>
    <row r="11" spans="1:8" hidden="1" x14ac:dyDescent="0.25">
      <c r="A11" s="92"/>
      <c r="B11" s="87"/>
      <c r="C11" s="87"/>
      <c r="D11" s="93"/>
      <c r="E11" s="25" t="s">
        <v>38</v>
      </c>
      <c r="F11" s="20"/>
      <c r="G11" s="25" t="s">
        <v>52</v>
      </c>
      <c r="H11" s="20"/>
    </row>
    <row r="12" spans="1:8" hidden="1" x14ac:dyDescent="0.25">
      <c r="A12" s="92"/>
      <c r="B12" s="87"/>
      <c r="C12" s="87"/>
      <c r="D12" s="93"/>
      <c r="E12" s="25" t="s">
        <v>39</v>
      </c>
      <c r="F12" s="20"/>
      <c r="G12" s="25" t="s">
        <v>53</v>
      </c>
      <c r="H12" s="20"/>
    </row>
    <row r="13" spans="1:8" hidden="1" x14ac:dyDescent="0.25">
      <c r="A13" s="92"/>
      <c r="B13" s="87"/>
      <c r="C13" s="87"/>
      <c r="D13" s="93"/>
      <c r="E13" s="25" t="s">
        <v>40</v>
      </c>
      <c r="F13" s="20"/>
      <c r="G13" s="25" t="s">
        <v>54</v>
      </c>
      <c r="H13" s="20"/>
    </row>
    <row r="14" spans="1:8" hidden="1" x14ac:dyDescent="0.25">
      <c r="A14" s="92"/>
      <c r="B14" s="87"/>
      <c r="C14" s="87"/>
      <c r="D14" s="93"/>
      <c r="E14" s="25" t="s">
        <v>41</v>
      </c>
      <c r="F14" s="20"/>
      <c r="G14" s="25" t="s">
        <v>55</v>
      </c>
      <c r="H14" s="20"/>
    </row>
    <row r="15" spans="1:8" hidden="1" x14ac:dyDescent="0.25">
      <c r="A15" s="92"/>
      <c r="B15" s="87"/>
      <c r="C15" s="87"/>
      <c r="D15" s="93"/>
      <c r="E15" s="25" t="s">
        <v>42</v>
      </c>
      <c r="F15" s="20"/>
      <c r="G15" s="25" t="s">
        <v>56</v>
      </c>
      <c r="H15" s="20"/>
    </row>
    <row r="16" spans="1:8" hidden="1" x14ac:dyDescent="0.25">
      <c r="A16" s="92"/>
      <c r="B16" s="87"/>
      <c r="C16" s="87"/>
      <c r="D16" s="93"/>
      <c r="E16" s="25" t="s">
        <v>43</v>
      </c>
      <c r="F16" s="20"/>
      <c r="G16" s="25" t="s">
        <v>57</v>
      </c>
      <c r="H16" s="20"/>
    </row>
    <row r="17" spans="1:8" hidden="1" x14ac:dyDescent="0.25">
      <c r="A17" s="92"/>
      <c r="B17" s="87"/>
      <c r="C17" s="87"/>
      <c r="D17" s="93"/>
      <c r="E17" s="25" t="s">
        <v>44</v>
      </c>
      <c r="F17" s="20"/>
      <c r="G17" s="25" t="s">
        <v>58</v>
      </c>
      <c r="H17" s="20"/>
    </row>
    <row r="18" spans="1:8" hidden="1" x14ac:dyDescent="0.25">
      <c r="A18" s="92"/>
      <c r="B18" s="28" t="s">
        <v>122</v>
      </c>
      <c r="C18" s="28" t="s">
        <v>123</v>
      </c>
      <c r="D18" s="93"/>
      <c r="E18" s="25" t="s">
        <v>45</v>
      </c>
      <c r="F18" s="20"/>
      <c r="G18" s="25" t="s">
        <v>59</v>
      </c>
      <c r="H18" s="20"/>
    </row>
    <row r="19" spans="1:8" hidden="1" x14ac:dyDescent="0.25">
      <c r="A19" s="92"/>
      <c r="B19" s="63"/>
      <c r="C19" s="33"/>
      <c r="D19" s="93"/>
      <c r="E19" s="25" t="s">
        <v>62</v>
      </c>
      <c r="F19" s="20"/>
      <c r="G19" s="67" t="s">
        <v>60</v>
      </c>
      <c r="H19" s="20"/>
    </row>
    <row r="20" spans="1:8" hidden="1" x14ac:dyDescent="0.25">
      <c r="A20" s="92">
        <v>2</v>
      </c>
      <c r="B20" s="87" t="s">
        <v>128</v>
      </c>
      <c r="C20" s="87" t="s">
        <v>130</v>
      </c>
      <c r="D20" s="93">
        <v>50</v>
      </c>
      <c r="E20" s="25" t="s">
        <v>32</v>
      </c>
      <c r="F20" s="20"/>
      <c r="G20" s="25" t="s">
        <v>47</v>
      </c>
      <c r="H20" s="20"/>
    </row>
    <row r="21" spans="1:8" hidden="1" x14ac:dyDescent="0.25">
      <c r="A21" s="92"/>
      <c r="B21" s="87"/>
      <c r="C21" s="87"/>
      <c r="D21" s="93"/>
      <c r="E21" s="25" t="s">
        <v>33</v>
      </c>
      <c r="F21" s="20"/>
      <c r="G21" s="25" t="s">
        <v>48</v>
      </c>
      <c r="H21" s="20"/>
    </row>
    <row r="22" spans="1:8" hidden="1" x14ac:dyDescent="0.25">
      <c r="A22" s="92"/>
      <c r="B22" s="87"/>
      <c r="C22" s="87"/>
      <c r="D22" s="93"/>
      <c r="E22" s="25" t="s">
        <v>34</v>
      </c>
      <c r="F22" s="20"/>
      <c r="G22" s="25" t="s">
        <v>49</v>
      </c>
      <c r="H22" s="20"/>
    </row>
    <row r="23" spans="1:8" hidden="1" x14ac:dyDescent="0.25">
      <c r="A23" s="92"/>
      <c r="B23" s="87"/>
      <c r="C23" s="87"/>
      <c r="D23" s="93"/>
      <c r="E23" s="25" t="s">
        <v>35</v>
      </c>
      <c r="F23" s="20"/>
      <c r="G23" s="25" t="s">
        <v>50</v>
      </c>
      <c r="H23" s="20"/>
    </row>
    <row r="24" spans="1:8" hidden="1" x14ac:dyDescent="0.25">
      <c r="A24" s="92"/>
      <c r="B24" s="87"/>
      <c r="C24" s="87"/>
      <c r="D24" s="93"/>
      <c r="E24" s="25" t="s">
        <v>36</v>
      </c>
      <c r="F24" s="20"/>
      <c r="G24" s="25" t="s">
        <v>51</v>
      </c>
      <c r="H24" s="20"/>
    </row>
    <row r="25" spans="1:8" hidden="1" x14ac:dyDescent="0.25">
      <c r="A25" s="92"/>
      <c r="B25" s="87"/>
      <c r="C25" s="87"/>
      <c r="D25" s="93"/>
      <c r="E25" s="25" t="s">
        <v>37</v>
      </c>
      <c r="F25" s="20"/>
      <c r="G25" s="25" t="s">
        <v>46</v>
      </c>
      <c r="H25" s="20"/>
    </row>
    <row r="26" spans="1:8" hidden="1" x14ac:dyDescent="0.25">
      <c r="A26" s="92"/>
      <c r="B26" s="87"/>
      <c r="C26" s="87"/>
      <c r="D26" s="93"/>
      <c r="E26" s="25" t="s">
        <v>38</v>
      </c>
      <c r="F26" s="20"/>
      <c r="G26" s="25" t="s">
        <v>52</v>
      </c>
      <c r="H26" s="20"/>
    </row>
    <row r="27" spans="1:8" hidden="1" x14ac:dyDescent="0.25">
      <c r="A27" s="92"/>
      <c r="B27" s="87"/>
      <c r="C27" s="87"/>
      <c r="D27" s="93"/>
      <c r="E27" s="25" t="s">
        <v>39</v>
      </c>
      <c r="F27" s="20"/>
      <c r="G27" s="25" t="s">
        <v>53</v>
      </c>
      <c r="H27" s="20"/>
    </row>
    <row r="28" spans="1:8" hidden="1" x14ac:dyDescent="0.25">
      <c r="A28" s="92"/>
      <c r="B28" s="87"/>
      <c r="C28" s="87"/>
      <c r="D28" s="93"/>
      <c r="E28" s="25" t="s">
        <v>40</v>
      </c>
      <c r="F28" s="20"/>
      <c r="G28" s="25" t="s">
        <v>54</v>
      </c>
      <c r="H28" s="20"/>
    </row>
    <row r="29" spans="1:8" hidden="1" x14ac:dyDescent="0.25">
      <c r="A29" s="92"/>
      <c r="B29" s="87"/>
      <c r="C29" s="87"/>
      <c r="D29" s="93"/>
      <c r="E29" s="25" t="s">
        <v>41</v>
      </c>
      <c r="F29" s="20"/>
      <c r="G29" s="25" t="s">
        <v>55</v>
      </c>
      <c r="H29" s="20"/>
    </row>
    <row r="30" spans="1:8" hidden="1" x14ac:dyDescent="0.25">
      <c r="A30" s="92"/>
      <c r="B30" s="87"/>
      <c r="C30" s="87"/>
      <c r="D30" s="93"/>
      <c r="E30" s="25" t="s">
        <v>42</v>
      </c>
      <c r="F30" s="20"/>
      <c r="G30" s="25" t="s">
        <v>56</v>
      </c>
      <c r="H30" s="20"/>
    </row>
    <row r="31" spans="1:8" hidden="1" x14ac:dyDescent="0.25">
      <c r="A31" s="92"/>
      <c r="B31" s="87"/>
      <c r="C31" s="87"/>
      <c r="D31" s="93"/>
      <c r="E31" s="25" t="s">
        <v>43</v>
      </c>
      <c r="F31" s="20"/>
      <c r="G31" s="25" t="s">
        <v>57</v>
      </c>
      <c r="H31" s="20"/>
    </row>
    <row r="32" spans="1:8" hidden="1" x14ac:dyDescent="0.25">
      <c r="A32" s="92"/>
      <c r="B32" s="87"/>
      <c r="C32" s="87"/>
      <c r="D32" s="93"/>
      <c r="E32" s="25" t="s">
        <v>44</v>
      </c>
      <c r="F32" s="20"/>
      <c r="G32" s="25" t="s">
        <v>58</v>
      </c>
      <c r="H32" s="20"/>
    </row>
    <row r="33" spans="1:8" hidden="1" x14ac:dyDescent="0.25">
      <c r="A33" s="92"/>
      <c r="B33" s="87"/>
      <c r="C33" s="87"/>
      <c r="D33" s="93"/>
      <c r="E33" s="25" t="s">
        <v>45</v>
      </c>
      <c r="F33" s="20"/>
      <c r="G33" s="25" t="s">
        <v>59</v>
      </c>
      <c r="H33" s="20"/>
    </row>
    <row r="34" spans="1:8" hidden="1" x14ac:dyDescent="0.25">
      <c r="A34" s="92"/>
      <c r="B34" s="87"/>
      <c r="C34" s="87"/>
      <c r="D34" s="93"/>
      <c r="E34" s="25" t="s">
        <v>62</v>
      </c>
      <c r="F34" s="20"/>
      <c r="G34" s="25" t="s">
        <v>60</v>
      </c>
      <c r="H34" s="20"/>
    </row>
    <row r="35" spans="1:8" hidden="1" x14ac:dyDescent="0.25">
      <c r="A35" s="92"/>
      <c r="B35" s="87"/>
      <c r="C35" s="87"/>
      <c r="D35" s="93"/>
      <c r="E35" s="25" t="s">
        <v>63</v>
      </c>
      <c r="F35" s="20"/>
      <c r="G35" s="25" t="s">
        <v>61</v>
      </c>
      <c r="H35" s="20"/>
    </row>
    <row r="36" spans="1:8" hidden="1" x14ac:dyDescent="0.25">
      <c r="A36" s="92"/>
      <c r="B36" s="87"/>
      <c r="C36" s="87"/>
      <c r="D36" s="93"/>
      <c r="E36" s="25" t="s">
        <v>64</v>
      </c>
      <c r="F36" s="20"/>
      <c r="G36" s="25" t="s">
        <v>82</v>
      </c>
      <c r="H36" s="20"/>
    </row>
    <row r="37" spans="1:8" hidden="1" x14ac:dyDescent="0.25">
      <c r="A37" s="92"/>
      <c r="B37" s="87"/>
      <c r="C37" s="87"/>
      <c r="D37" s="93"/>
      <c r="E37" s="25" t="s">
        <v>65</v>
      </c>
      <c r="F37" s="20"/>
      <c r="G37" s="25" t="s">
        <v>83</v>
      </c>
      <c r="H37" s="20"/>
    </row>
    <row r="38" spans="1:8" hidden="1" x14ac:dyDescent="0.25">
      <c r="A38" s="92"/>
      <c r="B38" s="87"/>
      <c r="C38" s="87"/>
      <c r="D38" s="93"/>
      <c r="E38" s="25" t="s">
        <v>66</v>
      </c>
      <c r="F38" s="20"/>
      <c r="G38" s="25" t="s">
        <v>84</v>
      </c>
      <c r="H38" s="20"/>
    </row>
    <row r="39" spans="1:8" hidden="1" x14ac:dyDescent="0.25">
      <c r="A39" s="92"/>
      <c r="B39" s="87"/>
      <c r="C39" s="87"/>
      <c r="D39" s="93"/>
      <c r="E39" s="25" t="s">
        <v>67</v>
      </c>
      <c r="F39" s="20"/>
      <c r="G39" s="25" t="s">
        <v>85</v>
      </c>
      <c r="H39" s="20"/>
    </row>
    <row r="40" spans="1:8" hidden="1" x14ac:dyDescent="0.25">
      <c r="A40" s="92"/>
      <c r="B40" s="87"/>
      <c r="C40" s="87"/>
      <c r="D40" s="93"/>
      <c r="E40" s="25" t="s">
        <v>68</v>
      </c>
      <c r="F40" s="20"/>
      <c r="G40" s="25" t="s">
        <v>86</v>
      </c>
      <c r="H40" s="20"/>
    </row>
    <row r="41" spans="1:8" hidden="1" x14ac:dyDescent="0.25">
      <c r="A41" s="92"/>
      <c r="B41" s="87"/>
      <c r="C41" s="87"/>
      <c r="D41" s="93"/>
      <c r="E41" s="25" t="s">
        <v>69</v>
      </c>
      <c r="F41" s="20"/>
      <c r="G41" s="25" t="s">
        <v>87</v>
      </c>
      <c r="H41" s="20"/>
    </row>
    <row r="42" spans="1:8" hidden="1" x14ac:dyDescent="0.25">
      <c r="A42" s="92"/>
      <c r="B42" s="87"/>
      <c r="C42" s="87"/>
      <c r="D42" s="93"/>
      <c r="E42" s="25" t="s">
        <v>70</v>
      </c>
      <c r="F42" s="20"/>
      <c r="G42" s="25" t="s">
        <v>88</v>
      </c>
      <c r="H42" s="20"/>
    </row>
    <row r="43" spans="1:8" hidden="1" x14ac:dyDescent="0.25">
      <c r="A43" s="92"/>
      <c r="B43" s="28" t="s">
        <v>122</v>
      </c>
      <c r="C43" s="28" t="s">
        <v>123</v>
      </c>
      <c r="D43" s="93"/>
      <c r="E43" s="25" t="s">
        <v>71</v>
      </c>
      <c r="F43" s="20"/>
      <c r="G43" s="25" t="s">
        <v>89</v>
      </c>
      <c r="H43" s="20"/>
    </row>
    <row r="44" spans="1:8" hidden="1" x14ac:dyDescent="0.25">
      <c r="A44" s="92"/>
      <c r="B44" s="63"/>
      <c r="C44" s="33"/>
      <c r="D44" s="93"/>
      <c r="E44" s="25" t="s">
        <v>72</v>
      </c>
      <c r="F44" s="21"/>
      <c r="G44" s="25" t="s">
        <v>90</v>
      </c>
      <c r="H44" s="20"/>
    </row>
    <row r="45" spans="1:8" hidden="1" x14ac:dyDescent="0.25">
      <c r="A45" s="92">
        <v>3</v>
      </c>
      <c r="B45" s="87" t="s">
        <v>128</v>
      </c>
      <c r="C45" s="87" t="s">
        <v>132</v>
      </c>
      <c r="D45" s="93">
        <v>35</v>
      </c>
      <c r="E45" s="25" t="s">
        <v>32</v>
      </c>
      <c r="F45" s="20"/>
      <c r="G45" s="25" t="s">
        <v>47</v>
      </c>
      <c r="H45" s="20"/>
    </row>
    <row r="46" spans="1:8" hidden="1" x14ac:dyDescent="0.25">
      <c r="A46" s="92"/>
      <c r="B46" s="87"/>
      <c r="C46" s="87"/>
      <c r="D46" s="93"/>
      <c r="E46" s="25" t="s">
        <v>33</v>
      </c>
      <c r="F46" s="21"/>
      <c r="G46" s="25" t="s">
        <v>48</v>
      </c>
      <c r="H46" s="20"/>
    </row>
    <row r="47" spans="1:8" hidden="1" x14ac:dyDescent="0.25">
      <c r="A47" s="92"/>
      <c r="B47" s="87"/>
      <c r="C47" s="87"/>
      <c r="D47" s="93"/>
      <c r="E47" s="25" t="s">
        <v>34</v>
      </c>
      <c r="F47" s="21"/>
      <c r="G47" s="25" t="s">
        <v>49</v>
      </c>
      <c r="H47" s="20"/>
    </row>
    <row r="48" spans="1:8" hidden="1" x14ac:dyDescent="0.25">
      <c r="A48" s="92"/>
      <c r="B48" s="87"/>
      <c r="C48" s="87"/>
      <c r="D48" s="93"/>
      <c r="E48" s="25" t="s">
        <v>35</v>
      </c>
      <c r="F48" s="21"/>
      <c r="G48" s="25" t="s">
        <v>50</v>
      </c>
      <c r="H48" s="20"/>
    </row>
    <row r="49" spans="1:8" hidden="1" x14ac:dyDescent="0.25">
      <c r="A49" s="92"/>
      <c r="B49" s="87"/>
      <c r="C49" s="87"/>
      <c r="D49" s="93"/>
      <c r="E49" s="25" t="s">
        <v>36</v>
      </c>
      <c r="F49" s="21"/>
      <c r="G49" s="25" t="s">
        <v>51</v>
      </c>
      <c r="H49" s="20"/>
    </row>
    <row r="50" spans="1:8" hidden="1" x14ac:dyDescent="0.25">
      <c r="A50" s="92"/>
      <c r="B50" s="87"/>
      <c r="C50" s="87"/>
      <c r="D50" s="93"/>
      <c r="E50" s="25" t="s">
        <v>37</v>
      </c>
      <c r="F50" s="21"/>
      <c r="G50" s="25" t="s">
        <v>46</v>
      </c>
      <c r="H50" s="20"/>
    </row>
    <row r="51" spans="1:8" hidden="1" x14ac:dyDescent="0.25">
      <c r="A51" s="92"/>
      <c r="B51" s="87"/>
      <c r="C51" s="87"/>
      <c r="D51" s="93"/>
      <c r="E51" s="25" t="s">
        <v>38</v>
      </c>
      <c r="F51" s="21"/>
      <c r="G51" s="25" t="s">
        <v>52</v>
      </c>
      <c r="H51" s="20"/>
    </row>
    <row r="52" spans="1:8" hidden="1" x14ac:dyDescent="0.25">
      <c r="A52" s="92"/>
      <c r="B52" s="87"/>
      <c r="C52" s="87"/>
      <c r="D52" s="93"/>
      <c r="E52" s="25" t="s">
        <v>39</v>
      </c>
      <c r="F52" s="21"/>
      <c r="G52" s="25" t="s">
        <v>53</v>
      </c>
      <c r="H52" s="20"/>
    </row>
    <row r="53" spans="1:8" hidden="1" x14ac:dyDescent="0.25">
      <c r="A53" s="92"/>
      <c r="B53" s="87"/>
      <c r="C53" s="87"/>
      <c r="D53" s="93"/>
      <c r="E53" s="25" t="s">
        <v>40</v>
      </c>
      <c r="F53" s="21"/>
      <c r="G53" s="25" t="s">
        <v>54</v>
      </c>
      <c r="H53" s="20"/>
    </row>
    <row r="54" spans="1:8" hidden="1" x14ac:dyDescent="0.25">
      <c r="A54" s="92"/>
      <c r="B54" s="87"/>
      <c r="C54" s="87"/>
      <c r="D54" s="93"/>
      <c r="E54" s="25" t="s">
        <v>41</v>
      </c>
      <c r="F54" s="21"/>
      <c r="G54" s="25" t="s">
        <v>55</v>
      </c>
      <c r="H54" s="20"/>
    </row>
    <row r="55" spans="1:8" hidden="1" x14ac:dyDescent="0.25">
      <c r="A55" s="92"/>
      <c r="B55" s="87"/>
      <c r="C55" s="87"/>
      <c r="D55" s="93"/>
      <c r="E55" s="25" t="s">
        <v>42</v>
      </c>
      <c r="F55" s="21"/>
      <c r="G55" s="25" t="s">
        <v>56</v>
      </c>
      <c r="H55" s="20"/>
    </row>
    <row r="56" spans="1:8" hidden="1" x14ac:dyDescent="0.25">
      <c r="A56" s="92"/>
      <c r="B56" s="87"/>
      <c r="C56" s="87"/>
      <c r="D56" s="93"/>
      <c r="E56" s="25" t="s">
        <v>43</v>
      </c>
      <c r="F56" s="21"/>
      <c r="G56" s="25" t="s">
        <v>57</v>
      </c>
      <c r="H56" s="20"/>
    </row>
    <row r="57" spans="1:8" hidden="1" x14ac:dyDescent="0.25">
      <c r="A57" s="92"/>
      <c r="B57" s="87"/>
      <c r="C57" s="87"/>
      <c r="D57" s="93"/>
      <c r="E57" s="25" t="s">
        <v>44</v>
      </c>
      <c r="F57" s="21"/>
      <c r="G57" s="25" t="s">
        <v>58</v>
      </c>
      <c r="H57" s="20"/>
    </row>
    <row r="58" spans="1:8" hidden="1" x14ac:dyDescent="0.25">
      <c r="A58" s="92"/>
      <c r="B58" s="87"/>
      <c r="C58" s="87"/>
      <c r="D58" s="93"/>
      <c r="E58" s="25" t="s">
        <v>45</v>
      </c>
      <c r="F58" s="21"/>
      <c r="G58" s="25" t="s">
        <v>59</v>
      </c>
      <c r="H58" s="20"/>
    </row>
    <row r="59" spans="1:8" hidden="1" x14ac:dyDescent="0.25">
      <c r="A59" s="92"/>
      <c r="B59" s="87"/>
      <c r="C59" s="87"/>
      <c r="D59" s="93"/>
      <c r="E59" s="25" t="s">
        <v>62</v>
      </c>
      <c r="F59" s="21"/>
      <c r="G59" s="25" t="s">
        <v>60</v>
      </c>
      <c r="H59" s="20"/>
    </row>
    <row r="60" spans="1:8" hidden="1" x14ac:dyDescent="0.25">
      <c r="A60" s="92"/>
      <c r="B60" s="87"/>
      <c r="C60" s="87"/>
      <c r="D60" s="93"/>
      <c r="E60" s="25" t="s">
        <v>63</v>
      </c>
      <c r="F60" s="21"/>
      <c r="G60" s="25" t="s">
        <v>61</v>
      </c>
      <c r="H60" s="20"/>
    </row>
    <row r="61" spans="1:8" hidden="1" x14ac:dyDescent="0.25">
      <c r="A61" s="92"/>
      <c r="B61" s="28" t="s">
        <v>122</v>
      </c>
      <c r="C61" s="28" t="s">
        <v>123</v>
      </c>
      <c r="D61" s="93"/>
      <c r="E61" s="25" t="s">
        <v>64</v>
      </c>
      <c r="F61" s="21"/>
      <c r="G61" s="25" t="s">
        <v>82</v>
      </c>
      <c r="H61" s="20"/>
    </row>
    <row r="62" spans="1:8" hidden="1" x14ac:dyDescent="0.25">
      <c r="A62" s="92"/>
      <c r="B62" s="63"/>
      <c r="C62" s="33"/>
      <c r="D62" s="93"/>
      <c r="E62" s="25" t="s">
        <v>65</v>
      </c>
      <c r="F62" s="21"/>
      <c r="G62" s="64"/>
      <c r="H62" s="20"/>
    </row>
    <row r="63" spans="1:8" hidden="1" x14ac:dyDescent="0.25">
      <c r="A63" s="92">
        <v>4</v>
      </c>
      <c r="B63" s="87" t="s">
        <v>128</v>
      </c>
      <c r="C63" s="87" t="s">
        <v>129</v>
      </c>
      <c r="D63" s="93">
        <v>70</v>
      </c>
      <c r="E63" s="25" t="s">
        <v>32</v>
      </c>
      <c r="F63" s="21"/>
      <c r="G63" s="25" t="s">
        <v>47</v>
      </c>
      <c r="H63" s="20"/>
    </row>
    <row r="64" spans="1:8" hidden="1" x14ac:dyDescent="0.25">
      <c r="A64" s="92"/>
      <c r="B64" s="87"/>
      <c r="C64" s="87"/>
      <c r="D64" s="93"/>
      <c r="E64" s="25" t="s">
        <v>33</v>
      </c>
      <c r="F64" s="21"/>
      <c r="G64" s="25" t="s">
        <v>48</v>
      </c>
      <c r="H64" s="20"/>
    </row>
    <row r="65" spans="1:8" hidden="1" x14ac:dyDescent="0.25">
      <c r="A65" s="92"/>
      <c r="B65" s="87"/>
      <c r="C65" s="87"/>
      <c r="D65" s="93"/>
      <c r="E65" s="25" t="s">
        <v>34</v>
      </c>
      <c r="F65" s="21"/>
      <c r="G65" s="25" t="s">
        <v>49</v>
      </c>
      <c r="H65" s="20"/>
    </row>
    <row r="66" spans="1:8" hidden="1" x14ac:dyDescent="0.25">
      <c r="A66" s="92"/>
      <c r="B66" s="87"/>
      <c r="C66" s="87"/>
      <c r="D66" s="93"/>
      <c r="E66" s="25" t="s">
        <v>35</v>
      </c>
      <c r="F66" s="21"/>
      <c r="G66" s="25" t="s">
        <v>50</v>
      </c>
      <c r="H66" s="20"/>
    </row>
    <row r="67" spans="1:8" hidden="1" x14ac:dyDescent="0.25">
      <c r="A67" s="92"/>
      <c r="B67" s="87"/>
      <c r="C67" s="87"/>
      <c r="D67" s="93"/>
      <c r="E67" s="25" t="s">
        <v>36</v>
      </c>
      <c r="F67" s="21"/>
      <c r="G67" s="25" t="s">
        <v>51</v>
      </c>
      <c r="H67" s="20"/>
    </row>
    <row r="68" spans="1:8" hidden="1" x14ac:dyDescent="0.25">
      <c r="A68" s="92"/>
      <c r="B68" s="87"/>
      <c r="C68" s="87"/>
      <c r="D68" s="93"/>
      <c r="E68" s="25" t="s">
        <v>37</v>
      </c>
      <c r="F68" s="21"/>
      <c r="G68" s="25" t="s">
        <v>46</v>
      </c>
      <c r="H68" s="20"/>
    </row>
    <row r="69" spans="1:8" hidden="1" x14ac:dyDescent="0.25">
      <c r="A69" s="92"/>
      <c r="B69" s="87"/>
      <c r="C69" s="87"/>
      <c r="D69" s="93"/>
      <c r="E69" s="25" t="s">
        <v>38</v>
      </c>
      <c r="F69" s="21"/>
      <c r="G69" s="25" t="s">
        <v>52</v>
      </c>
      <c r="H69" s="20"/>
    </row>
    <row r="70" spans="1:8" hidden="1" x14ac:dyDescent="0.25">
      <c r="A70" s="92"/>
      <c r="B70" s="87"/>
      <c r="C70" s="87"/>
      <c r="D70" s="93"/>
      <c r="E70" s="25" t="s">
        <v>39</v>
      </c>
      <c r="F70" s="21"/>
      <c r="G70" s="25" t="s">
        <v>53</v>
      </c>
      <c r="H70" s="20"/>
    </row>
    <row r="71" spans="1:8" hidden="1" x14ac:dyDescent="0.25">
      <c r="A71" s="92"/>
      <c r="B71" s="87"/>
      <c r="C71" s="87"/>
      <c r="D71" s="93"/>
      <c r="E71" s="25" t="s">
        <v>40</v>
      </c>
      <c r="F71" s="21"/>
      <c r="G71" s="25" t="s">
        <v>54</v>
      </c>
      <c r="H71" s="20"/>
    </row>
    <row r="72" spans="1:8" hidden="1" x14ac:dyDescent="0.25">
      <c r="A72" s="92"/>
      <c r="B72" s="87"/>
      <c r="C72" s="87"/>
      <c r="D72" s="93"/>
      <c r="E72" s="25" t="s">
        <v>41</v>
      </c>
      <c r="F72" s="21"/>
      <c r="G72" s="25" t="s">
        <v>55</v>
      </c>
      <c r="H72" s="20"/>
    </row>
    <row r="73" spans="1:8" hidden="1" x14ac:dyDescent="0.25">
      <c r="A73" s="92"/>
      <c r="B73" s="87"/>
      <c r="C73" s="87"/>
      <c r="D73" s="93"/>
      <c r="E73" s="25" t="s">
        <v>42</v>
      </c>
      <c r="F73" s="21"/>
      <c r="G73" s="25" t="s">
        <v>56</v>
      </c>
      <c r="H73" s="20"/>
    </row>
    <row r="74" spans="1:8" hidden="1" x14ac:dyDescent="0.25">
      <c r="A74" s="92"/>
      <c r="B74" s="87"/>
      <c r="C74" s="87"/>
      <c r="D74" s="93"/>
      <c r="E74" s="25" t="s">
        <v>43</v>
      </c>
      <c r="F74" s="21"/>
      <c r="G74" s="25" t="s">
        <v>57</v>
      </c>
      <c r="H74" s="20"/>
    </row>
    <row r="75" spans="1:8" hidden="1" x14ac:dyDescent="0.25">
      <c r="A75" s="92"/>
      <c r="B75" s="87"/>
      <c r="C75" s="87"/>
      <c r="D75" s="93"/>
      <c r="E75" s="25" t="s">
        <v>44</v>
      </c>
      <c r="F75" s="21"/>
      <c r="G75" s="25" t="s">
        <v>58</v>
      </c>
      <c r="H75" s="20"/>
    </row>
    <row r="76" spans="1:8" hidden="1" x14ac:dyDescent="0.25">
      <c r="A76" s="92"/>
      <c r="B76" s="87"/>
      <c r="C76" s="87"/>
      <c r="D76" s="93"/>
      <c r="E76" s="25" t="s">
        <v>45</v>
      </c>
      <c r="F76" s="21"/>
      <c r="G76" s="25" t="s">
        <v>59</v>
      </c>
      <c r="H76" s="20"/>
    </row>
    <row r="77" spans="1:8" hidden="1" x14ac:dyDescent="0.25">
      <c r="A77" s="92"/>
      <c r="B77" s="87"/>
      <c r="C77" s="87"/>
      <c r="D77" s="93"/>
      <c r="E77" s="25" t="s">
        <v>62</v>
      </c>
      <c r="F77" s="21"/>
      <c r="G77" s="25" t="s">
        <v>60</v>
      </c>
      <c r="H77" s="20"/>
    </row>
    <row r="78" spans="1:8" hidden="1" x14ac:dyDescent="0.25">
      <c r="A78" s="92"/>
      <c r="B78" s="87"/>
      <c r="C78" s="87"/>
      <c r="D78" s="93"/>
      <c r="E78" s="25" t="s">
        <v>63</v>
      </c>
      <c r="F78" s="21"/>
      <c r="G78" s="25" t="s">
        <v>61</v>
      </c>
      <c r="H78" s="20"/>
    </row>
    <row r="79" spans="1:8" hidden="1" x14ac:dyDescent="0.25">
      <c r="A79" s="92"/>
      <c r="B79" s="87"/>
      <c r="C79" s="87"/>
      <c r="D79" s="93"/>
      <c r="E79" s="25" t="s">
        <v>64</v>
      </c>
      <c r="F79" s="21"/>
      <c r="G79" s="25" t="s">
        <v>82</v>
      </c>
      <c r="H79" s="20"/>
    </row>
    <row r="80" spans="1:8" hidden="1" x14ac:dyDescent="0.25">
      <c r="A80" s="92"/>
      <c r="B80" s="87"/>
      <c r="C80" s="87"/>
      <c r="D80" s="93"/>
      <c r="E80" s="25" t="s">
        <v>65</v>
      </c>
      <c r="F80" s="21"/>
      <c r="G80" s="25" t="s">
        <v>83</v>
      </c>
      <c r="H80" s="20"/>
    </row>
    <row r="81" spans="1:8" hidden="1" x14ac:dyDescent="0.25">
      <c r="A81" s="92"/>
      <c r="B81" s="87"/>
      <c r="C81" s="87"/>
      <c r="D81" s="93"/>
      <c r="E81" s="25" t="s">
        <v>66</v>
      </c>
      <c r="F81" s="21"/>
      <c r="G81" s="25" t="s">
        <v>84</v>
      </c>
      <c r="H81" s="20"/>
    </row>
    <row r="82" spans="1:8" hidden="1" x14ac:dyDescent="0.25">
      <c r="A82" s="92"/>
      <c r="B82" s="87"/>
      <c r="C82" s="87"/>
      <c r="D82" s="93"/>
      <c r="E82" s="25" t="s">
        <v>67</v>
      </c>
      <c r="F82" s="21"/>
      <c r="G82" s="25" t="s">
        <v>85</v>
      </c>
      <c r="H82" s="20"/>
    </row>
    <row r="83" spans="1:8" hidden="1" x14ac:dyDescent="0.25">
      <c r="A83" s="92"/>
      <c r="B83" s="87"/>
      <c r="C83" s="87"/>
      <c r="D83" s="93"/>
      <c r="E83" s="25" t="s">
        <v>68</v>
      </c>
      <c r="F83" s="21"/>
      <c r="G83" s="25" t="s">
        <v>86</v>
      </c>
      <c r="H83" s="20"/>
    </row>
    <row r="84" spans="1:8" hidden="1" x14ac:dyDescent="0.25">
      <c r="A84" s="92"/>
      <c r="B84" s="87"/>
      <c r="C84" s="87"/>
      <c r="D84" s="93"/>
      <c r="E84" s="25" t="s">
        <v>69</v>
      </c>
      <c r="F84" s="21"/>
      <c r="G84" s="25" t="s">
        <v>87</v>
      </c>
      <c r="H84" s="20"/>
    </row>
    <row r="85" spans="1:8" hidden="1" x14ac:dyDescent="0.25">
      <c r="A85" s="92"/>
      <c r="B85" s="87"/>
      <c r="C85" s="87"/>
      <c r="D85" s="93"/>
      <c r="E85" s="25" t="s">
        <v>70</v>
      </c>
      <c r="F85" s="21"/>
      <c r="G85" s="25" t="s">
        <v>88</v>
      </c>
      <c r="H85" s="20"/>
    </row>
    <row r="86" spans="1:8" hidden="1" x14ac:dyDescent="0.25">
      <c r="A86" s="92"/>
      <c r="B86" s="87"/>
      <c r="C86" s="87"/>
      <c r="D86" s="93"/>
      <c r="E86" s="25" t="s">
        <v>71</v>
      </c>
      <c r="F86" s="21"/>
      <c r="G86" s="25" t="s">
        <v>89</v>
      </c>
      <c r="H86" s="20"/>
    </row>
    <row r="87" spans="1:8" hidden="1" x14ac:dyDescent="0.25">
      <c r="A87" s="92"/>
      <c r="B87" s="87"/>
      <c r="C87" s="87"/>
      <c r="D87" s="93"/>
      <c r="E87" s="25" t="s">
        <v>72</v>
      </c>
      <c r="F87" s="21"/>
      <c r="G87" s="25" t="s">
        <v>90</v>
      </c>
      <c r="H87" s="20"/>
    </row>
    <row r="88" spans="1:8" hidden="1" x14ac:dyDescent="0.25">
      <c r="A88" s="92"/>
      <c r="B88" s="87"/>
      <c r="C88" s="87"/>
      <c r="D88" s="93"/>
      <c r="E88" s="25" t="s">
        <v>73</v>
      </c>
      <c r="F88" s="21"/>
      <c r="G88" s="25" t="s">
        <v>91</v>
      </c>
      <c r="H88" s="20"/>
    </row>
    <row r="89" spans="1:8" hidden="1" x14ac:dyDescent="0.25">
      <c r="A89" s="92"/>
      <c r="B89" s="87"/>
      <c r="C89" s="87"/>
      <c r="D89" s="93"/>
      <c r="E89" s="25" t="s">
        <v>74</v>
      </c>
      <c r="F89" s="21"/>
      <c r="G89" s="25" t="s">
        <v>92</v>
      </c>
      <c r="H89" s="20"/>
    </row>
    <row r="90" spans="1:8" hidden="1" x14ac:dyDescent="0.25">
      <c r="A90" s="92"/>
      <c r="B90" s="87"/>
      <c r="C90" s="87"/>
      <c r="D90" s="93"/>
      <c r="E90" s="25" t="s">
        <v>75</v>
      </c>
      <c r="F90" s="21"/>
      <c r="G90" s="25" t="s">
        <v>93</v>
      </c>
      <c r="H90" s="20"/>
    </row>
    <row r="91" spans="1:8" hidden="1" x14ac:dyDescent="0.25">
      <c r="A91" s="92"/>
      <c r="B91" s="87"/>
      <c r="C91" s="87"/>
      <c r="D91" s="93"/>
      <c r="E91" s="25" t="s">
        <v>76</v>
      </c>
      <c r="F91" s="21"/>
      <c r="G91" s="25" t="s">
        <v>94</v>
      </c>
      <c r="H91" s="20"/>
    </row>
    <row r="92" spans="1:8" hidden="1" x14ac:dyDescent="0.25">
      <c r="A92" s="92"/>
      <c r="B92" s="87"/>
      <c r="C92" s="87"/>
      <c r="D92" s="93"/>
      <c r="E92" s="25" t="s">
        <v>77</v>
      </c>
      <c r="F92" s="21"/>
      <c r="G92" s="25" t="s">
        <v>95</v>
      </c>
      <c r="H92" s="20"/>
    </row>
    <row r="93" spans="1:8" hidden="1" x14ac:dyDescent="0.25">
      <c r="A93" s="92"/>
      <c r="B93" s="87"/>
      <c r="C93" s="87"/>
      <c r="D93" s="93"/>
      <c r="E93" s="25" t="s">
        <v>78</v>
      </c>
      <c r="F93" s="21"/>
      <c r="G93" s="25" t="s">
        <v>96</v>
      </c>
      <c r="H93" s="20"/>
    </row>
    <row r="94" spans="1:8" hidden="1" x14ac:dyDescent="0.25">
      <c r="A94" s="92"/>
      <c r="B94" s="87"/>
      <c r="C94" s="87"/>
      <c r="D94" s="93"/>
      <c r="E94" s="25" t="s">
        <v>79</v>
      </c>
      <c r="F94" s="21"/>
      <c r="G94" s="25" t="s">
        <v>97</v>
      </c>
      <c r="H94" s="20"/>
    </row>
    <row r="95" spans="1:8" hidden="1" x14ac:dyDescent="0.25">
      <c r="A95" s="92"/>
      <c r="B95" s="87"/>
      <c r="C95" s="87"/>
      <c r="D95" s="93"/>
      <c r="E95" s="25" t="s">
        <v>80</v>
      </c>
      <c r="F95" s="21"/>
      <c r="G95" s="25" t="s">
        <v>98</v>
      </c>
      <c r="H95" s="20"/>
    </row>
    <row r="96" spans="1:8" hidden="1" x14ac:dyDescent="0.25">
      <c r="A96" s="92"/>
      <c r="B96" s="28" t="s">
        <v>122</v>
      </c>
      <c r="C96" s="28" t="s">
        <v>123</v>
      </c>
      <c r="D96" s="93"/>
      <c r="E96" s="25" t="s">
        <v>81</v>
      </c>
      <c r="F96" s="21"/>
      <c r="G96" s="25" t="s">
        <v>99</v>
      </c>
      <c r="H96" s="20"/>
    </row>
    <row r="97" spans="1:8" hidden="1" x14ac:dyDescent="0.25">
      <c r="A97" s="92"/>
      <c r="B97" s="65"/>
      <c r="C97" s="65"/>
      <c r="D97" s="93"/>
      <c r="E97" s="25" t="s">
        <v>109</v>
      </c>
      <c r="F97" s="21"/>
      <c r="G97" s="25" t="s">
        <v>110</v>
      </c>
      <c r="H97" s="20"/>
    </row>
    <row r="98" spans="1:8" hidden="1" x14ac:dyDescent="0.25">
      <c r="A98" s="92">
        <v>5</v>
      </c>
      <c r="B98" s="87" t="s">
        <v>128</v>
      </c>
      <c r="C98" s="87" t="s">
        <v>131</v>
      </c>
      <c r="D98" s="93">
        <v>40</v>
      </c>
      <c r="E98" s="25" t="s">
        <v>32</v>
      </c>
      <c r="F98" s="21"/>
      <c r="G98" s="25" t="s">
        <v>47</v>
      </c>
      <c r="H98" s="20"/>
    </row>
    <row r="99" spans="1:8" hidden="1" x14ac:dyDescent="0.25">
      <c r="A99" s="92"/>
      <c r="B99" s="87"/>
      <c r="C99" s="87"/>
      <c r="D99" s="93"/>
      <c r="E99" s="25" t="s">
        <v>33</v>
      </c>
      <c r="F99" s="21"/>
      <c r="G99" s="25" t="s">
        <v>48</v>
      </c>
      <c r="H99" s="20"/>
    </row>
    <row r="100" spans="1:8" hidden="1" x14ac:dyDescent="0.25">
      <c r="A100" s="92"/>
      <c r="B100" s="87"/>
      <c r="C100" s="87"/>
      <c r="D100" s="93"/>
      <c r="E100" s="25" t="s">
        <v>34</v>
      </c>
      <c r="F100" s="21"/>
      <c r="G100" s="25" t="s">
        <v>49</v>
      </c>
      <c r="H100" s="20"/>
    </row>
    <row r="101" spans="1:8" hidden="1" x14ac:dyDescent="0.25">
      <c r="A101" s="92"/>
      <c r="B101" s="87"/>
      <c r="C101" s="87"/>
      <c r="D101" s="93"/>
      <c r="E101" s="25" t="s">
        <v>35</v>
      </c>
      <c r="F101" s="21"/>
      <c r="G101" s="25" t="s">
        <v>50</v>
      </c>
      <c r="H101" s="20"/>
    </row>
    <row r="102" spans="1:8" hidden="1" x14ac:dyDescent="0.25">
      <c r="A102" s="92"/>
      <c r="B102" s="87"/>
      <c r="C102" s="87"/>
      <c r="D102" s="93"/>
      <c r="E102" s="25" t="s">
        <v>36</v>
      </c>
      <c r="F102" s="21"/>
      <c r="G102" s="25" t="s">
        <v>51</v>
      </c>
      <c r="H102" s="20"/>
    </row>
    <row r="103" spans="1:8" hidden="1" x14ac:dyDescent="0.25">
      <c r="A103" s="92"/>
      <c r="B103" s="87"/>
      <c r="C103" s="87"/>
      <c r="D103" s="93"/>
      <c r="E103" s="25" t="s">
        <v>37</v>
      </c>
      <c r="F103" s="21"/>
      <c r="G103" s="25" t="s">
        <v>46</v>
      </c>
      <c r="H103" s="20"/>
    </row>
    <row r="104" spans="1:8" hidden="1" x14ac:dyDescent="0.25">
      <c r="A104" s="92"/>
      <c r="B104" s="87"/>
      <c r="C104" s="87"/>
      <c r="D104" s="93"/>
      <c r="E104" s="25" t="s">
        <v>38</v>
      </c>
      <c r="F104" s="21"/>
      <c r="G104" s="25" t="s">
        <v>52</v>
      </c>
      <c r="H104" s="20"/>
    </row>
    <row r="105" spans="1:8" hidden="1" x14ac:dyDescent="0.25">
      <c r="A105" s="92"/>
      <c r="B105" s="87"/>
      <c r="C105" s="87"/>
      <c r="D105" s="93"/>
      <c r="E105" s="25" t="s">
        <v>39</v>
      </c>
      <c r="F105" s="21"/>
      <c r="G105" s="25" t="s">
        <v>53</v>
      </c>
      <c r="H105" s="20"/>
    </row>
    <row r="106" spans="1:8" hidden="1" x14ac:dyDescent="0.25">
      <c r="A106" s="92"/>
      <c r="B106" s="87"/>
      <c r="C106" s="87"/>
      <c r="D106" s="93"/>
      <c r="E106" s="25" t="s">
        <v>40</v>
      </c>
      <c r="F106" s="21"/>
      <c r="G106" s="25" t="s">
        <v>54</v>
      </c>
      <c r="H106" s="20"/>
    </row>
    <row r="107" spans="1:8" hidden="1" x14ac:dyDescent="0.25">
      <c r="A107" s="92"/>
      <c r="B107" s="87"/>
      <c r="C107" s="87"/>
      <c r="D107" s="93"/>
      <c r="E107" s="25" t="s">
        <v>41</v>
      </c>
      <c r="F107" s="21"/>
      <c r="G107" s="25" t="s">
        <v>55</v>
      </c>
      <c r="H107" s="20"/>
    </row>
    <row r="108" spans="1:8" hidden="1" x14ac:dyDescent="0.25">
      <c r="A108" s="92"/>
      <c r="B108" s="87"/>
      <c r="C108" s="87"/>
      <c r="D108" s="93"/>
      <c r="E108" s="25" t="s">
        <v>42</v>
      </c>
      <c r="F108" s="21"/>
      <c r="G108" s="25" t="s">
        <v>56</v>
      </c>
      <c r="H108" s="20"/>
    </row>
    <row r="109" spans="1:8" hidden="1" x14ac:dyDescent="0.25">
      <c r="A109" s="92"/>
      <c r="B109" s="87"/>
      <c r="C109" s="87"/>
      <c r="D109" s="93"/>
      <c r="E109" s="25" t="s">
        <v>43</v>
      </c>
      <c r="F109" s="21"/>
      <c r="G109" s="25" t="s">
        <v>57</v>
      </c>
      <c r="H109" s="20"/>
    </row>
    <row r="110" spans="1:8" hidden="1" x14ac:dyDescent="0.25">
      <c r="A110" s="92"/>
      <c r="B110" s="87"/>
      <c r="C110" s="87"/>
      <c r="D110" s="93"/>
      <c r="E110" s="25" t="s">
        <v>44</v>
      </c>
      <c r="F110" s="21"/>
      <c r="G110" s="25" t="s">
        <v>58</v>
      </c>
      <c r="H110" s="20"/>
    </row>
    <row r="111" spans="1:8" hidden="1" x14ac:dyDescent="0.25">
      <c r="A111" s="92"/>
      <c r="B111" s="87"/>
      <c r="C111" s="87"/>
      <c r="D111" s="93"/>
      <c r="E111" s="25" t="s">
        <v>45</v>
      </c>
      <c r="F111" s="21"/>
      <c r="G111" s="25" t="s">
        <v>59</v>
      </c>
      <c r="H111" s="20"/>
    </row>
    <row r="112" spans="1:8" hidden="1" x14ac:dyDescent="0.25">
      <c r="A112" s="92"/>
      <c r="B112" s="87"/>
      <c r="C112" s="87"/>
      <c r="D112" s="93"/>
      <c r="E112" s="25" t="s">
        <v>62</v>
      </c>
      <c r="F112" s="21"/>
      <c r="G112" s="25" t="s">
        <v>60</v>
      </c>
      <c r="H112" s="20"/>
    </row>
    <row r="113" spans="1:8" hidden="1" x14ac:dyDescent="0.25">
      <c r="A113" s="92"/>
      <c r="B113" s="87"/>
      <c r="C113" s="87"/>
      <c r="D113" s="93"/>
      <c r="E113" s="25" t="s">
        <v>63</v>
      </c>
      <c r="F113" s="21"/>
      <c r="G113" s="25" t="s">
        <v>61</v>
      </c>
      <c r="H113" s="20"/>
    </row>
    <row r="114" spans="1:8" hidden="1" x14ac:dyDescent="0.25">
      <c r="A114" s="92"/>
      <c r="B114" s="87"/>
      <c r="C114" s="87"/>
      <c r="D114" s="93"/>
      <c r="E114" s="25" t="s">
        <v>64</v>
      </c>
      <c r="F114" s="21"/>
      <c r="G114" s="25" t="s">
        <v>82</v>
      </c>
      <c r="H114" s="20"/>
    </row>
    <row r="115" spans="1:8" hidden="1" x14ac:dyDescent="0.25">
      <c r="A115" s="92"/>
      <c r="B115" s="28" t="s">
        <v>122</v>
      </c>
      <c r="C115" s="28" t="s">
        <v>123</v>
      </c>
      <c r="D115" s="93"/>
      <c r="E115" s="25" t="s">
        <v>65</v>
      </c>
      <c r="F115" s="21"/>
      <c r="G115" s="25" t="s">
        <v>83</v>
      </c>
      <c r="H115" s="20"/>
    </row>
    <row r="116" spans="1:8" hidden="1" x14ac:dyDescent="0.25">
      <c r="A116" s="92"/>
      <c r="B116" s="63"/>
      <c r="C116" s="33"/>
      <c r="D116" s="93"/>
      <c r="E116" s="25" t="s">
        <v>66</v>
      </c>
      <c r="F116" s="21"/>
      <c r="G116" s="25" t="s">
        <v>84</v>
      </c>
      <c r="H116" s="20"/>
    </row>
    <row r="117" spans="1:8" hidden="1" x14ac:dyDescent="0.25">
      <c r="A117" s="92"/>
      <c r="B117" s="33"/>
      <c r="C117" s="33"/>
      <c r="D117" s="93"/>
      <c r="E117" s="25" t="s">
        <v>67</v>
      </c>
      <c r="F117" s="21"/>
      <c r="G117" s="25" t="s">
        <v>85</v>
      </c>
      <c r="H117" s="20"/>
    </row>
    <row r="118" spans="1:8" hidden="1" x14ac:dyDescent="0.25">
      <c r="A118" s="92">
        <v>6</v>
      </c>
      <c r="B118" s="87" t="s">
        <v>138</v>
      </c>
      <c r="C118" s="87" t="s">
        <v>152</v>
      </c>
      <c r="D118" s="93">
        <v>68</v>
      </c>
      <c r="E118" s="25" t="s">
        <v>32</v>
      </c>
      <c r="F118" s="21"/>
      <c r="G118" s="25" t="s">
        <v>47</v>
      </c>
      <c r="H118" s="20"/>
    </row>
    <row r="119" spans="1:8" hidden="1" x14ac:dyDescent="0.25">
      <c r="A119" s="92"/>
      <c r="B119" s="87"/>
      <c r="C119" s="87"/>
      <c r="D119" s="93"/>
      <c r="E119" s="25" t="s">
        <v>33</v>
      </c>
      <c r="F119" s="21"/>
      <c r="G119" s="25" t="s">
        <v>48</v>
      </c>
      <c r="H119" s="20"/>
    </row>
    <row r="120" spans="1:8" hidden="1" x14ac:dyDescent="0.25">
      <c r="A120" s="92"/>
      <c r="B120" s="87"/>
      <c r="C120" s="87"/>
      <c r="D120" s="93"/>
      <c r="E120" s="25" t="s">
        <v>34</v>
      </c>
      <c r="F120" s="21"/>
      <c r="G120" s="25" t="s">
        <v>49</v>
      </c>
      <c r="H120" s="20"/>
    </row>
    <row r="121" spans="1:8" hidden="1" x14ac:dyDescent="0.25">
      <c r="A121" s="92"/>
      <c r="B121" s="87"/>
      <c r="C121" s="87"/>
      <c r="D121" s="93"/>
      <c r="E121" s="25" t="s">
        <v>35</v>
      </c>
      <c r="F121" s="21"/>
      <c r="G121" s="25" t="s">
        <v>50</v>
      </c>
      <c r="H121" s="20"/>
    </row>
    <row r="122" spans="1:8" hidden="1" x14ac:dyDescent="0.25">
      <c r="A122" s="92"/>
      <c r="B122" s="87"/>
      <c r="C122" s="87"/>
      <c r="D122" s="93"/>
      <c r="E122" s="25" t="s">
        <v>36</v>
      </c>
      <c r="F122" s="21"/>
      <c r="G122" s="25" t="s">
        <v>51</v>
      </c>
      <c r="H122" s="20"/>
    </row>
    <row r="123" spans="1:8" hidden="1" x14ac:dyDescent="0.25">
      <c r="A123" s="92"/>
      <c r="B123" s="87"/>
      <c r="C123" s="87"/>
      <c r="D123" s="93"/>
      <c r="E123" s="25" t="s">
        <v>37</v>
      </c>
      <c r="F123" s="21"/>
      <c r="G123" s="25" t="s">
        <v>46</v>
      </c>
      <c r="H123" s="20"/>
    </row>
    <row r="124" spans="1:8" hidden="1" x14ac:dyDescent="0.25">
      <c r="A124" s="92"/>
      <c r="B124" s="87"/>
      <c r="C124" s="87"/>
      <c r="D124" s="93"/>
      <c r="E124" s="25" t="s">
        <v>38</v>
      </c>
      <c r="F124" s="21"/>
      <c r="G124" s="25" t="s">
        <v>52</v>
      </c>
      <c r="H124" s="20"/>
    </row>
    <row r="125" spans="1:8" hidden="1" x14ac:dyDescent="0.25">
      <c r="A125" s="92"/>
      <c r="B125" s="87"/>
      <c r="C125" s="87"/>
      <c r="D125" s="93"/>
      <c r="E125" s="25" t="s">
        <v>39</v>
      </c>
      <c r="F125" s="21"/>
      <c r="G125" s="25" t="s">
        <v>53</v>
      </c>
      <c r="H125" s="20"/>
    </row>
    <row r="126" spans="1:8" hidden="1" x14ac:dyDescent="0.25">
      <c r="A126" s="92"/>
      <c r="B126" s="87"/>
      <c r="C126" s="87"/>
      <c r="D126" s="93"/>
      <c r="E126" s="25" t="s">
        <v>40</v>
      </c>
      <c r="F126" s="21"/>
      <c r="G126" s="25" t="s">
        <v>54</v>
      </c>
      <c r="H126" s="20"/>
    </row>
    <row r="127" spans="1:8" hidden="1" x14ac:dyDescent="0.25">
      <c r="A127" s="92"/>
      <c r="B127" s="87"/>
      <c r="C127" s="87"/>
      <c r="D127" s="93"/>
      <c r="E127" s="25" t="s">
        <v>41</v>
      </c>
      <c r="F127" s="21"/>
      <c r="G127" s="25" t="s">
        <v>55</v>
      </c>
      <c r="H127" s="20"/>
    </row>
    <row r="128" spans="1:8" hidden="1" x14ac:dyDescent="0.25">
      <c r="A128" s="92"/>
      <c r="B128" s="87"/>
      <c r="C128" s="87"/>
      <c r="D128" s="93"/>
      <c r="E128" s="25" t="s">
        <v>42</v>
      </c>
      <c r="F128" s="21"/>
      <c r="G128" s="25" t="s">
        <v>56</v>
      </c>
      <c r="H128" s="20"/>
    </row>
    <row r="129" spans="1:8" hidden="1" x14ac:dyDescent="0.25">
      <c r="A129" s="92"/>
      <c r="B129" s="87"/>
      <c r="C129" s="87"/>
      <c r="D129" s="93"/>
      <c r="E129" s="25" t="s">
        <v>43</v>
      </c>
      <c r="F129" s="21"/>
      <c r="G129" s="25" t="s">
        <v>57</v>
      </c>
      <c r="H129" s="20"/>
    </row>
    <row r="130" spans="1:8" hidden="1" x14ac:dyDescent="0.25">
      <c r="A130" s="92"/>
      <c r="B130" s="87"/>
      <c r="C130" s="87"/>
      <c r="D130" s="93"/>
      <c r="E130" s="25" t="s">
        <v>44</v>
      </c>
      <c r="F130" s="21"/>
      <c r="G130" s="25" t="s">
        <v>58</v>
      </c>
      <c r="H130" s="20"/>
    </row>
    <row r="131" spans="1:8" hidden="1" x14ac:dyDescent="0.25">
      <c r="A131" s="92"/>
      <c r="B131" s="87"/>
      <c r="C131" s="87"/>
      <c r="D131" s="93"/>
      <c r="E131" s="25" t="s">
        <v>45</v>
      </c>
      <c r="F131" s="21"/>
      <c r="G131" s="25" t="s">
        <v>59</v>
      </c>
      <c r="H131" s="20"/>
    </row>
    <row r="132" spans="1:8" hidden="1" x14ac:dyDescent="0.25">
      <c r="A132" s="92"/>
      <c r="B132" s="87"/>
      <c r="C132" s="87"/>
      <c r="D132" s="93"/>
      <c r="E132" s="25" t="s">
        <v>62</v>
      </c>
      <c r="F132" s="21"/>
      <c r="G132" s="25" t="s">
        <v>60</v>
      </c>
      <c r="H132" s="20"/>
    </row>
    <row r="133" spans="1:8" hidden="1" x14ac:dyDescent="0.25">
      <c r="A133" s="92"/>
      <c r="B133" s="87"/>
      <c r="C133" s="87"/>
      <c r="D133" s="93"/>
      <c r="E133" s="25" t="s">
        <v>63</v>
      </c>
      <c r="F133" s="21"/>
      <c r="G133" s="25" t="s">
        <v>61</v>
      </c>
      <c r="H133" s="20"/>
    </row>
    <row r="134" spans="1:8" hidden="1" x14ac:dyDescent="0.25">
      <c r="A134" s="92"/>
      <c r="B134" s="87"/>
      <c r="C134" s="87"/>
      <c r="D134" s="93"/>
      <c r="E134" s="25" t="s">
        <v>64</v>
      </c>
      <c r="F134" s="21"/>
      <c r="G134" s="25" t="s">
        <v>82</v>
      </c>
      <c r="H134" s="20"/>
    </row>
    <row r="135" spans="1:8" hidden="1" x14ac:dyDescent="0.25">
      <c r="A135" s="92"/>
      <c r="B135" s="87"/>
      <c r="C135" s="87"/>
      <c r="D135" s="93"/>
      <c r="E135" s="25" t="s">
        <v>65</v>
      </c>
      <c r="F135" s="21"/>
      <c r="G135" s="25" t="s">
        <v>83</v>
      </c>
      <c r="H135" s="20"/>
    </row>
    <row r="136" spans="1:8" hidden="1" x14ac:dyDescent="0.25">
      <c r="A136" s="92"/>
      <c r="B136" s="87"/>
      <c r="C136" s="87"/>
      <c r="D136" s="93"/>
      <c r="E136" s="25" t="s">
        <v>66</v>
      </c>
      <c r="F136" s="21"/>
      <c r="G136" s="25" t="s">
        <v>84</v>
      </c>
      <c r="H136" s="20"/>
    </row>
    <row r="137" spans="1:8" hidden="1" x14ac:dyDescent="0.25">
      <c r="A137" s="92"/>
      <c r="B137" s="87"/>
      <c r="C137" s="87"/>
      <c r="D137" s="93"/>
      <c r="E137" s="25" t="s">
        <v>67</v>
      </c>
      <c r="F137" s="21"/>
      <c r="G137" s="25" t="s">
        <v>85</v>
      </c>
      <c r="H137" s="20"/>
    </row>
    <row r="138" spans="1:8" hidden="1" x14ac:dyDescent="0.25">
      <c r="A138" s="92"/>
      <c r="B138" s="87"/>
      <c r="C138" s="87"/>
      <c r="D138" s="93"/>
      <c r="E138" s="25" t="s">
        <v>68</v>
      </c>
      <c r="F138" s="21"/>
      <c r="G138" s="25" t="s">
        <v>86</v>
      </c>
      <c r="H138" s="20"/>
    </row>
    <row r="139" spans="1:8" hidden="1" x14ac:dyDescent="0.25">
      <c r="A139" s="92"/>
      <c r="B139" s="87"/>
      <c r="C139" s="87"/>
      <c r="D139" s="93"/>
      <c r="E139" s="25" t="s">
        <v>69</v>
      </c>
      <c r="F139" s="21"/>
      <c r="G139" s="25" t="s">
        <v>87</v>
      </c>
      <c r="H139" s="20"/>
    </row>
    <row r="140" spans="1:8" hidden="1" x14ac:dyDescent="0.25">
      <c r="A140" s="92"/>
      <c r="B140" s="87"/>
      <c r="C140" s="87"/>
      <c r="D140" s="93"/>
      <c r="E140" s="25" t="s">
        <v>70</v>
      </c>
      <c r="F140" s="21"/>
      <c r="G140" s="25" t="s">
        <v>88</v>
      </c>
      <c r="H140" s="20"/>
    </row>
    <row r="141" spans="1:8" hidden="1" x14ac:dyDescent="0.25">
      <c r="A141" s="92"/>
      <c r="B141" s="87"/>
      <c r="C141" s="87"/>
      <c r="D141" s="93"/>
      <c r="E141" s="25" t="s">
        <v>71</v>
      </c>
      <c r="F141" s="21"/>
      <c r="G141" s="25" t="s">
        <v>89</v>
      </c>
      <c r="H141" s="20"/>
    </row>
    <row r="142" spans="1:8" hidden="1" x14ac:dyDescent="0.25">
      <c r="A142" s="92"/>
      <c r="B142" s="87"/>
      <c r="C142" s="87"/>
      <c r="D142" s="93"/>
      <c r="E142" s="25" t="s">
        <v>72</v>
      </c>
      <c r="F142" s="21"/>
      <c r="G142" s="25" t="s">
        <v>90</v>
      </c>
      <c r="H142" s="20"/>
    </row>
    <row r="143" spans="1:8" hidden="1" x14ac:dyDescent="0.25">
      <c r="A143" s="92"/>
      <c r="B143" s="87"/>
      <c r="C143" s="87"/>
      <c r="D143" s="93"/>
      <c r="E143" s="25" t="s">
        <v>73</v>
      </c>
      <c r="F143" s="21"/>
      <c r="G143" s="25" t="s">
        <v>91</v>
      </c>
      <c r="H143" s="20"/>
    </row>
    <row r="144" spans="1:8" hidden="1" x14ac:dyDescent="0.25">
      <c r="A144" s="92"/>
      <c r="B144" s="87"/>
      <c r="C144" s="87"/>
      <c r="D144" s="93"/>
      <c r="E144" s="25" t="s">
        <v>74</v>
      </c>
      <c r="F144" s="21"/>
      <c r="G144" s="25" t="s">
        <v>92</v>
      </c>
      <c r="H144" s="20"/>
    </row>
    <row r="145" spans="1:8" hidden="1" x14ac:dyDescent="0.25">
      <c r="A145" s="92"/>
      <c r="B145" s="87"/>
      <c r="C145" s="87"/>
      <c r="D145" s="93"/>
      <c r="E145" s="25" t="s">
        <v>75</v>
      </c>
      <c r="F145" s="21"/>
      <c r="G145" s="25" t="s">
        <v>93</v>
      </c>
      <c r="H145" s="20"/>
    </row>
    <row r="146" spans="1:8" hidden="1" x14ac:dyDescent="0.25">
      <c r="A146" s="92"/>
      <c r="B146" s="87"/>
      <c r="C146" s="87"/>
      <c r="D146" s="93"/>
      <c r="E146" s="25" t="s">
        <v>76</v>
      </c>
      <c r="F146" s="21"/>
      <c r="G146" s="25" t="s">
        <v>94</v>
      </c>
      <c r="H146" s="20"/>
    </row>
    <row r="147" spans="1:8" hidden="1" x14ac:dyDescent="0.25">
      <c r="A147" s="92"/>
      <c r="B147" s="87"/>
      <c r="C147" s="87"/>
      <c r="D147" s="93"/>
      <c r="E147" s="25" t="s">
        <v>77</v>
      </c>
      <c r="F147" s="21"/>
      <c r="G147" s="25" t="s">
        <v>95</v>
      </c>
      <c r="H147" s="20"/>
    </row>
    <row r="148" spans="1:8" hidden="1" x14ac:dyDescent="0.25">
      <c r="A148" s="92"/>
      <c r="B148" s="87"/>
      <c r="C148" s="87"/>
      <c r="D148" s="93"/>
      <c r="E148" s="25" t="s">
        <v>78</v>
      </c>
      <c r="F148" s="21"/>
      <c r="G148" s="25" t="s">
        <v>96</v>
      </c>
      <c r="H148" s="20"/>
    </row>
    <row r="149" spans="1:8" hidden="1" x14ac:dyDescent="0.25">
      <c r="A149" s="92"/>
      <c r="B149" s="28" t="s">
        <v>122</v>
      </c>
      <c r="C149" s="28" t="s">
        <v>123</v>
      </c>
      <c r="D149" s="93"/>
      <c r="E149" s="25" t="s">
        <v>79</v>
      </c>
      <c r="F149" s="21"/>
      <c r="G149" s="25" t="s">
        <v>97</v>
      </c>
      <c r="H149" s="20"/>
    </row>
    <row r="150" spans="1:8" hidden="1" x14ac:dyDescent="0.25">
      <c r="A150" s="92"/>
      <c r="B150" s="33"/>
      <c r="C150" s="33"/>
      <c r="D150" s="93"/>
      <c r="E150" s="25" t="s">
        <v>80</v>
      </c>
      <c r="F150" s="21"/>
      <c r="G150" s="25" t="s">
        <v>98</v>
      </c>
      <c r="H150" s="20"/>
    </row>
    <row r="151" spans="1:8" hidden="1" x14ac:dyDescent="0.25">
      <c r="A151" s="92">
        <v>7</v>
      </c>
      <c r="B151" s="87" t="s">
        <v>128</v>
      </c>
      <c r="C151" s="87" t="s">
        <v>140</v>
      </c>
      <c r="D151" s="93">
        <v>20</v>
      </c>
      <c r="E151" s="25" t="s">
        <v>32</v>
      </c>
      <c r="F151" s="21"/>
      <c r="G151" s="25" t="s">
        <v>47</v>
      </c>
      <c r="H151" s="20"/>
    </row>
    <row r="152" spans="1:8" hidden="1" x14ac:dyDescent="0.25">
      <c r="A152" s="92"/>
      <c r="B152" s="87"/>
      <c r="C152" s="87"/>
      <c r="D152" s="93"/>
      <c r="E152" s="25" t="s">
        <v>33</v>
      </c>
      <c r="F152" s="21"/>
      <c r="G152" s="25" t="s">
        <v>48</v>
      </c>
      <c r="H152" s="20"/>
    </row>
    <row r="153" spans="1:8" hidden="1" x14ac:dyDescent="0.25">
      <c r="A153" s="92"/>
      <c r="B153" s="87"/>
      <c r="C153" s="87"/>
      <c r="D153" s="93"/>
      <c r="E153" s="25" t="s">
        <v>34</v>
      </c>
      <c r="F153" s="21"/>
      <c r="G153" s="25" t="s">
        <v>49</v>
      </c>
      <c r="H153" s="20"/>
    </row>
    <row r="154" spans="1:8" hidden="1" x14ac:dyDescent="0.25">
      <c r="A154" s="92"/>
      <c r="B154" s="87"/>
      <c r="C154" s="87"/>
      <c r="D154" s="93"/>
      <c r="E154" s="25" t="s">
        <v>35</v>
      </c>
      <c r="F154" s="21"/>
      <c r="G154" s="25" t="s">
        <v>50</v>
      </c>
      <c r="H154" s="20"/>
    </row>
    <row r="155" spans="1:8" hidden="1" x14ac:dyDescent="0.25">
      <c r="A155" s="92"/>
      <c r="B155" s="87"/>
      <c r="C155" s="87"/>
      <c r="D155" s="93"/>
      <c r="E155" s="25" t="s">
        <v>36</v>
      </c>
      <c r="F155" s="21"/>
      <c r="G155" s="25" t="s">
        <v>51</v>
      </c>
      <c r="H155" s="20"/>
    </row>
    <row r="156" spans="1:8" hidden="1" x14ac:dyDescent="0.25">
      <c r="A156" s="92"/>
      <c r="B156" s="87"/>
      <c r="C156" s="87"/>
      <c r="D156" s="93"/>
      <c r="E156" s="25" t="s">
        <v>37</v>
      </c>
      <c r="F156" s="21"/>
      <c r="G156" s="25" t="s">
        <v>46</v>
      </c>
      <c r="H156" s="20"/>
    </row>
    <row r="157" spans="1:8" hidden="1" x14ac:dyDescent="0.25">
      <c r="A157" s="92"/>
      <c r="B157" s="87"/>
      <c r="C157" s="87"/>
      <c r="D157" s="93"/>
      <c r="E157" s="25" t="s">
        <v>38</v>
      </c>
      <c r="F157" s="21"/>
      <c r="G157" s="25" t="s">
        <v>52</v>
      </c>
      <c r="H157" s="20"/>
    </row>
    <row r="158" spans="1:8" hidden="1" x14ac:dyDescent="0.25">
      <c r="A158" s="92"/>
      <c r="B158" s="87"/>
      <c r="C158" s="87"/>
      <c r="D158" s="93"/>
      <c r="E158" s="25" t="s">
        <v>39</v>
      </c>
      <c r="F158" s="21"/>
      <c r="G158" s="25" t="s">
        <v>53</v>
      </c>
      <c r="H158" s="20"/>
    </row>
    <row r="159" spans="1:8" hidden="1" x14ac:dyDescent="0.25">
      <c r="A159" s="92"/>
      <c r="B159" s="28" t="s">
        <v>122</v>
      </c>
      <c r="C159" s="28" t="s">
        <v>123</v>
      </c>
      <c r="D159" s="93"/>
      <c r="E159" s="25" t="s">
        <v>40</v>
      </c>
      <c r="F159" s="21"/>
      <c r="G159" s="25" t="s">
        <v>54</v>
      </c>
      <c r="H159" s="20"/>
    </row>
    <row r="160" spans="1:8" hidden="1" x14ac:dyDescent="0.25">
      <c r="A160" s="92"/>
      <c r="B160" s="33"/>
      <c r="C160" s="33"/>
      <c r="D160" s="93"/>
      <c r="E160" s="25" t="s">
        <v>41</v>
      </c>
      <c r="F160" s="21"/>
      <c r="G160" s="25" t="s">
        <v>55</v>
      </c>
      <c r="H160" s="20"/>
    </row>
    <row r="161" spans="1:8" hidden="1" x14ac:dyDescent="0.25">
      <c r="A161" s="92">
        <v>8</v>
      </c>
      <c r="B161" s="87" t="s">
        <v>138</v>
      </c>
      <c r="C161" s="87" t="s">
        <v>139</v>
      </c>
      <c r="D161" s="93">
        <v>25</v>
      </c>
      <c r="E161" s="25" t="s">
        <v>32</v>
      </c>
      <c r="F161" s="21"/>
      <c r="G161" s="25" t="s">
        <v>47</v>
      </c>
      <c r="H161" s="20"/>
    </row>
    <row r="162" spans="1:8" hidden="1" x14ac:dyDescent="0.25">
      <c r="A162" s="92"/>
      <c r="B162" s="87"/>
      <c r="C162" s="87"/>
      <c r="D162" s="93"/>
      <c r="E162" s="25" t="s">
        <v>33</v>
      </c>
      <c r="F162" s="21"/>
      <c r="G162" s="25" t="s">
        <v>48</v>
      </c>
      <c r="H162" s="20"/>
    </row>
    <row r="163" spans="1:8" hidden="1" x14ac:dyDescent="0.25">
      <c r="A163" s="92"/>
      <c r="B163" s="87"/>
      <c r="C163" s="87"/>
      <c r="D163" s="93"/>
      <c r="E163" s="25" t="s">
        <v>34</v>
      </c>
      <c r="F163" s="21"/>
      <c r="G163" s="25" t="s">
        <v>49</v>
      </c>
      <c r="H163" s="20"/>
    </row>
    <row r="164" spans="1:8" hidden="1" x14ac:dyDescent="0.25">
      <c r="A164" s="92"/>
      <c r="B164" s="87"/>
      <c r="C164" s="87"/>
      <c r="D164" s="93"/>
      <c r="E164" s="25" t="s">
        <v>35</v>
      </c>
      <c r="F164" s="21"/>
      <c r="G164" s="25" t="s">
        <v>50</v>
      </c>
      <c r="H164" s="20"/>
    </row>
    <row r="165" spans="1:8" hidden="1" x14ac:dyDescent="0.25">
      <c r="A165" s="92"/>
      <c r="B165" s="87"/>
      <c r="C165" s="87"/>
      <c r="D165" s="93"/>
      <c r="E165" s="25" t="s">
        <v>36</v>
      </c>
      <c r="F165" s="21"/>
      <c r="G165" s="25" t="s">
        <v>51</v>
      </c>
      <c r="H165" s="20"/>
    </row>
    <row r="166" spans="1:8" hidden="1" x14ac:dyDescent="0.25">
      <c r="A166" s="92"/>
      <c r="B166" s="87"/>
      <c r="C166" s="87"/>
      <c r="D166" s="93"/>
      <c r="E166" s="25" t="s">
        <v>37</v>
      </c>
      <c r="F166" s="21"/>
      <c r="G166" s="25" t="s">
        <v>46</v>
      </c>
      <c r="H166" s="20"/>
    </row>
    <row r="167" spans="1:8" hidden="1" x14ac:dyDescent="0.25">
      <c r="A167" s="92"/>
      <c r="B167" s="87"/>
      <c r="C167" s="87"/>
      <c r="D167" s="93"/>
      <c r="E167" s="25" t="s">
        <v>38</v>
      </c>
      <c r="F167" s="21"/>
      <c r="G167" s="25" t="s">
        <v>52</v>
      </c>
      <c r="H167" s="20"/>
    </row>
    <row r="168" spans="1:8" hidden="1" x14ac:dyDescent="0.25">
      <c r="A168" s="92"/>
      <c r="B168" s="87"/>
      <c r="C168" s="87"/>
      <c r="D168" s="93"/>
      <c r="E168" s="25" t="s">
        <v>39</v>
      </c>
      <c r="F168" s="21"/>
      <c r="G168" s="25" t="s">
        <v>53</v>
      </c>
      <c r="H168" s="20"/>
    </row>
    <row r="169" spans="1:8" hidden="1" x14ac:dyDescent="0.25">
      <c r="A169" s="92"/>
      <c r="B169" s="87"/>
      <c r="C169" s="87"/>
      <c r="D169" s="93"/>
      <c r="E169" s="25" t="s">
        <v>40</v>
      </c>
      <c r="F169" s="21"/>
      <c r="G169" s="25" t="s">
        <v>54</v>
      </c>
      <c r="H169" s="20"/>
    </row>
    <row r="170" spans="1:8" hidden="1" x14ac:dyDescent="0.25">
      <c r="A170" s="92"/>
      <c r="B170" s="87"/>
      <c r="C170" s="87"/>
      <c r="D170" s="93"/>
      <c r="E170" s="25" t="s">
        <v>41</v>
      </c>
      <c r="F170" s="21"/>
      <c r="G170" s="25" t="s">
        <v>55</v>
      </c>
      <c r="H170" s="20"/>
    </row>
    <row r="171" spans="1:8" hidden="1" x14ac:dyDescent="0.25">
      <c r="A171" s="92"/>
      <c r="B171" s="87"/>
      <c r="C171" s="87"/>
      <c r="D171" s="93"/>
      <c r="E171" s="25" t="s">
        <v>42</v>
      </c>
      <c r="F171" s="21"/>
      <c r="G171" s="25" t="s">
        <v>56</v>
      </c>
      <c r="H171" s="20"/>
    </row>
    <row r="172" spans="1:8" hidden="1" x14ac:dyDescent="0.25">
      <c r="A172" s="92"/>
      <c r="B172" s="28" t="s">
        <v>122</v>
      </c>
      <c r="C172" s="28" t="s">
        <v>123</v>
      </c>
      <c r="D172" s="93"/>
      <c r="E172" s="25" t="s">
        <v>43</v>
      </c>
      <c r="F172" s="21"/>
      <c r="G172" s="25" t="s">
        <v>57</v>
      </c>
      <c r="H172" s="20"/>
    </row>
    <row r="173" spans="1:8" hidden="1" x14ac:dyDescent="0.25">
      <c r="A173" s="92"/>
      <c r="B173" s="63"/>
      <c r="C173" s="33"/>
      <c r="D173" s="93"/>
      <c r="E173" s="25" t="s">
        <v>44</v>
      </c>
      <c r="F173" s="21"/>
      <c r="G173" s="64"/>
      <c r="H173" s="20"/>
    </row>
    <row r="174" spans="1:8" x14ac:dyDescent="0.25">
      <c r="A174" s="92">
        <v>9</v>
      </c>
      <c r="B174" s="87" t="s">
        <v>125</v>
      </c>
      <c r="C174" s="87" t="s">
        <v>126</v>
      </c>
      <c r="D174" s="93">
        <v>30</v>
      </c>
      <c r="E174" s="25" t="s">
        <v>32</v>
      </c>
      <c r="F174" s="97" t="s">
        <v>260</v>
      </c>
      <c r="G174" s="25" t="s">
        <v>47</v>
      </c>
      <c r="H174" s="97" t="s">
        <v>274</v>
      </c>
    </row>
    <row r="175" spans="1:8" x14ac:dyDescent="0.25">
      <c r="A175" s="92"/>
      <c r="B175" s="87"/>
      <c r="C175" s="87"/>
      <c r="D175" s="93"/>
      <c r="E175" s="25" t="s">
        <v>33</v>
      </c>
      <c r="F175" s="98" t="s">
        <v>261</v>
      </c>
      <c r="G175" s="25" t="s">
        <v>48</v>
      </c>
      <c r="H175" s="98" t="s">
        <v>275</v>
      </c>
    </row>
    <row r="176" spans="1:8" x14ac:dyDescent="0.25">
      <c r="A176" s="92"/>
      <c r="B176" s="87"/>
      <c r="C176" s="87"/>
      <c r="D176" s="93"/>
      <c r="E176" s="25" t="s">
        <v>34</v>
      </c>
      <c r="F176" s="97" t="s">
        <v>262</v>
      </c>
      <c r="G176" s="25" t="s">
        <v>49</v>
      </c>
      <c r="H176" s="97" t="s">
        <v>276</v>
      </c>
    </row>
    <row r="177" spans="1:8" x14ac:dyDescent="0.25">
      <c r="A177" s="92"/>
      <c r="B177" s="87"/>
      <c r="C177" s="87"/>
      <c r="D177" s="93"/>
      <c r="E177" s="25" t="s">
        <v>35</v>
      </c>
      <c r="F177" s="98" t="s">
        <v>263</v>
      </c>
      <c r="G177" s="25" t="s">
        <v>50</v>
      </c>
      <c r="H177" s="98" t="s">
        <v>277</v>
      </c>
    </row>
    <row r="178" spans="1:8" x14ac:dyDescent="0.25">
      <c r="A178" s="92"/>
      <c r="B178" s="87"/>
      <c r="C178" s="87"/>
      <c r="D178" s="93"/>
      <c r="E178" s="25" t="s">
        <v>36</v>
      </c>
      <c r="F178" s="97" t="s">
        <v>264</v>
      </c>
      <c r="G178" s="25" t="s">
        <v>51</v>
      </c>
      <c r="H178" s="97" t="s">
        <v>278</v>
      </c>
    </row>
    <row r="179" spans="1:8" x14ac:dyDescent="0.25">
      <c r="A179" s="92"/>
      <c r="B179" s="87"/>
      <c r="C179" s="87"/>
      <c r="D179" s="93"/>
      <c r="E179" s="25" t="s">
        <v>37</v>
      </c>
      <c r="F179" s="98" t="s">
        <v>265</v>
      </c>
      <c r="G179" s="25" t="s">
        <v>46</v>
      </c>
      <c r="H179" s="98" t="s">
        <v>279</v>
      </c>
    </row>
    <row r="180" spans="1:8" x14ac:dyDescent="0.25">
      <c r="A180" s="92"/>
      <c r="B180" s="87"/>
      <c r="C180" s="87"/>
      <c r="D180" s="93"/>
      <c r="E180" s="25" t="s">
        <v>38</v>
      </c>
      <c r="F180" s="97" t="s">
        <v>266</v>
      </c>
      <c r="G180" s="25" t="s">
        <v>52</v>
      </c>
      <c r="H180" s="97" t="s">
        <v>280</v>
      </c>
    </row>
    <row r="181" spans="1:8" x14ac:dyDescent="0.25">
      <c r="A181" s="92"/>
      <c r="B181" s="87"/>
      <c r="C181" s="87"/>
      <c r="D181" s="93"/>
      <c r="E181" s="25" t="s">
        <v>39</v>
      </c>
      <c r="F181" s="98" t="s">
        <v>267</v>
      </c>
      <c r="G181" s="25" t="s">
        <v>53</v>
      </c>
      <c r="H181" s="98" t="s">
        <v>281</v>
      </c>
    </row>
    <row r="182" spans="1:8" x14ac:dyDescent="0.25">
      <c r="A182" s="92"/>
      <c r="B182" s="87"/>
      <c r="C182" s="87"/>
      <c r="D182" s="93"/>
      <c r="E182" s="25" t="s">
        <v>40</v>
      </c>
      <c r="F182" s="97" t="s">
        <v>268</v>
      </c>
      <c r="G182" s="25" t="s">
        <v>54</v>
      </c>
      <c r="H182" s="97" t="s">
        <v>282</v>
      </c>
    </row>
    <row r="183" spans="1:8" x14ac:dyDescent="0.25">
      <c r="A183" s="92"/>
      <c r="B183" s="87"/>
      <c r="C183" s="87"/>
      <c r="D183" s="93"/>
      <c r="E183" s="25" t="s">
        <v>41</v>
      </c>
      <c r="F183" s="98" t="s">
        <v>269</v>
      </c>
      <c r="G183" s="25" t="s">
        <v>55</v>
      </c>
      <c r="H183" s="98" t="s">
        <v>283</v>
      </c>
    </row>
    <row r="184" spans="1:8" x14ac:dyDescent="0.25">
      <c r="A184" s="92"/>
      <c r="B184" s="87"/>
      <c r="C184" s="87"/>
      <c r="D184" s="93"/>
      <c r="E184" s="25" t="s">
        <v>42</v>
      </c>
      <c r="F184" s="97" t="s">
        <v>270</v>
      </c>
      <c r="G184" s="25" t="s">
        <v>56</v>
      </c>
      <c r="H184" s="97" t="s">
        <v>284</v>
      </c>
    </row>
    <row r="185" spans="1:8" x14ac:dyDescent="0.25">
      <c r="A185" s="92"/>
      <c r="B185" s="87"/>
      <c r="C185" s="87"/>
      <c r="D185" s="93"/>
      <c r="E185" s="25" t="s">
        <v>43</v>
      </c>
      <c r="F185" s="98" t="s">
        <v>271</v>
      </c>
      <c r="G185" s="25" t="s">
        <v>57</v>
      </c>
      <c r="H185" s="98" t="s">
        <v>285</v>
      </c>
    </row>
    <row r="186" spans="1:8" x14ac:dyDescent="0.25">
      <c r="A186" s="92"/>
      <c r="B186" s="87"/>
      <c r="C186" s="87"/>
      <c r="D186" s="93"/>
      <c r="E186" s="25" t="s">
        <v>44</v>
      </c>
      <c r="F186" s="97" t="s">
        <v>272</v>
      </c>
      <c r="G186" s="25" t="s">
        <v>58</v>
      </c>
      <c r="H186" s="97" t="s">
        <v>286</v>
      </c>
    </row>
    <row r="187" spans="1:8" x14ac:dyDescent="0.25">
      <c r="A187" s="92"/>
      <c r="B187" s="87"/>
      <c r="C187" s="87"/>
      <c r="D187" s="93"/>
      <c r="E187" s="25" t="s">
        <v>45</v>
      </c>
      <c r="F187" s="98" t="s">
        <v>273</v>
      </c>
      <c r="G187" s="25" t="s">
        <v>59</v>
      </c>
      <c r="H187" s="98" t="s">
        <v>287</v>
      </c>
    </row>
    <row r="188" spans="1:8" x14ac:dyDescent="0.25">
      <c r="A188" s="92"/>
      <c r="B188" s="28" t="s">
        <v>122</v>
      </c>
      <c r="C188" s="28" t="s">
        <v>123</v>
      </c>
      <c r="D188" s="93"/>
      <c r="E188" s="25" t="s">
        <v>62</v>
      </c>
      <c r="F188" s="21"/>
      <c r="G188" s="25" t="s">
        <v>60</v>
      </c>
      <c r="H188" s="20"/>
    </row>
    <row r="189" spans="1:8" x14ac:dyDescent="0.25">
      <c r="A189" s="92"/>
      <c r="B189" s="20"/>
      <c r="C189" s="20"/>
      <c r="D189" s="93"/>
      <c r="E189" s="20"/>
      <c r="F189" s="21"/>
      <c r="G189" s="20"/>
      <c r="H189" s="20"/>
    </row>
    <row r="190" spans="1:8" x14ac:dyDescent="0.25">
      <c r="A190" s="92">
        <v>10</v>
      </c>
      <c r="B190" s="87" t="s">
        <v>125</v>
      </c>
      <c r="C190" s="87" t="s">
        <v>135</v>
      </c>
      <c r="D190" s="93">
        <v>28</v>
      </c>
      <c r="E190" s="25" t="s">
        <v>32</v>
      </c>
      <c r="F190" s="97" t="s">
        <v>232</v>
      </c>
      <c r="G190" s="25" t="s">
        <v>47</v>
      </c>
      <c r="H190" s="97" t="s">
        <v>246</v>
      </c>
    </row>
    <row r="191" spans="1:8" x14ac:dyDescent="0.25">
      <c r="A191" s="92"/>
      <c r="B191" s="87"/>
      <c r="C191" s="87"/>
      <c r="D191" s="93"/>
      <c r="E191" s="25" t="s">
        <v>33</v>
      </c>
      <c r="F191" s="98" t="s">
        <v>233</v>
      </c>
      <c r="G191" s="25" t="s">
        <v>48</v>
      </c>
      <c r="H191" s="98" t="s">
        <v>247</v>
      </c>
    </row>
    <row r="192" spans="1:8" x14ac:dyDescent="0.25">
      <c r="A192" s="92"/>
      <c r="B192" s="87"/>
      <c r="C192" s="87"/>
      <c r="D192" s="93"/>
      <c r="E192" s="25" t="s">
        <v>34</v>
      </c>
      <c r="F192" s="97" t="s">
        <v>234</v>
      </c>
      <c r="G192" s="25" t="s">
        <v>49</v>
      </c>
      <c r="H192" s="97" t="s">
        <v>248</v>
      </c>
    </row>
    <row r="193" spans="1:8" x14ac:dyDescent="0.25">
      <c r="A193" s="92"/>
      <c r="B193" s="87"/>
      <c r="C193" s="87"/>
      <c r="D193" s="93"/>
      <c r="E193" s="25" t="s">
        <v>35</v>
      </c>
      <c r="F193" s="98" t="s">
        <v>235</v>
      </c>
      <c r="G193" s="25" t="s">
        <v>50</v>
      </c>
      <c r="H193" s="98" t="s">
        <v>249</v>
      </c>
    </row>
    <row r="194" spans="1:8" x14ac:dyDescent="0.25">
      <c r="A194" s="92"/>
      <c r="B194" s="87"/>
      <c r="C194" s="87"/>
      <c r="D194" s="93"/>
      <c r="E194" s="25" t="s">
        <v>36</v>
      </c>
      <c r="F194" s="97" t="s">
        <v>236</v>
      </c>
      <c r="G194" s="25" t="s">
        <v>51</v>
      </c>
      <c r="H194" s="97" t="s">
        <v>250</v>
      </c>
    </row>
    <row r="195" spans="1:8" x14ac:dyDescent="0.25">
      <c r="A195" s="92"/>
      <c r="B195" s="87"/>
      <c r="C195" s="87"/>
      <c r="D195" s="93"/>
      <c r="E195" s="25" t="s">
        <v>37</v>
      </c>
      <c r="F195" s="98" t="s">
        <v>237</v>
      </c>
      <c r="G195" s="25" t="s">
        <v>46</v>
      </c>
      <c r="H195" s="98" t="s">
        <v>251</v>
      </c>
    </row>
    <row r="196" spans="1:8" x14ac:dyDescent="0.25">
      <c r="A196" s="92"/>
      <c r="B196" s="87"/>
      <c r="C196" s="87"/>
      <c r="D196" s="93"/>
      <c r="E196" s="25" t="s">
        <v>38</v>
      </c>
      <c r="F196" s="97" t="s">
        <v>238</v>
      </c>
      <c r="G196" s="25" t="s">
        <v>52</v>
      </c>
      <c r="H196" s="97" t="s">
        <v>252</v>
      </c>
    </row>
    <row r="197" spans="1:8" x14ac:dyDescent="0.25">
      <c r="A197" s="92"/>
      <c r="B197" s="87"/>
      <c r="C197" s="87"/>
      <c r="D197" s="93"/>
      <c r="E197" s="25" t="s">
        <v>39</v>
      </c>
      <c r="F197" s="98" t="s">
        <v>239</v>
      </c>
      <c r="G197" s="25" t="s">
        <v>53</v>
      </c>
      <c r="H197" s="98" t="s">
        <v>253</v>
      </c>
    </row>
    <row r="198" spans="1:8" x14ac:dyDescent="0.25">
      <c r="A198" s="92"/>
      <c r="B198" s="87"/>
      <c r="C198" s="87"/>
      <c r="D198" s="93"/>
      <c r="E198" s="25" t="s">
        <v>40</v>
      </c>
      <c r="F198" s="97" t="s">
        <v>240</v>
      </c>
      <c r="G198" s="25" t="s">
        <v>54</v>
      </c>
      <c r="H198" s="97" t="s">
        <v>254</v>
      </c>
    </row>
    <row r="199" spans="1:8" x14ac:dyDescent="0.25">
      <c r="A199" s="92"/>
      <c r="B199" s="87"/>
      <c r="C199" s="87"/>
      <c r="D199" s="93"/>
      <c r="E199" s="25" t="s">
        <v>41</v>
      </c>
      <c r="F199" s="98" t="s">
        <v>241</v>
      </c>
      <c r="G199" s="25" t="s">
        <v>55</v>
      </c>
      <c r="H199" s="98" t="s">
        <v>255</v>
      </c>
    </row>
    <row r="200" spans="1:8" x14ac:dyDescent="0.25">
      <c r="A200" s="92"/>
      <c r="B200" s="87"/>
      <c r="C200" s="87"/>
      <c r="D200" s="93"/>
      <c r="E200" s="25" t="s">
        <v>42</v>
      </c>
      <c r="F200" s="97" t="s">
        <v>242</v>
      </c>
      <c r="G200" s="25" t="s">
        <v>56</v>
      </c>
      <c r="H200" s="97" t="s">
        <v>256</v>
      </c>
    </row>
    <row r="201" spans="1:8" x14ac:dyDescent="0.25">
      <c r="A201" s="92"/>
      <c r="B201" s="87"/>
      <c r="C201" s="87"/>
      <c r="D201" s="93"/>
      <c r="E201" s="25" t="s">
        <v>43</v>
      </c>
      <c r="F201" s="98" t="s">
        <v>243</v>
      </c>
      <c r="G201" s="25" t="s">
        <v>57</v>
      </c>
      <c r="H201" s="98" t="s">
        <v>257</v>
      </c>
    </row>
    <row r="202" spans="1:8" x14ac:dyDescent="0.25">
      <c r="A202" s="92"/>
      <c r="B202" s="87"/>
      <c r="C202" s="87"/>
      <c r="D202" s="93"/>
      <c r="E202" s="25" t="s">
        <v>44</v>
      </c>
      <c r="F202" s="97" t="s">
        <v>244</v>
      </c>
      <c r="G202" s="25" t="s">
        <v>58</v>
      </c>
      <c r="H202" s="97" t="s">
        <v>258</v>
      </c>
    </row>
    <row r="203" spans="1:8" x14ac:dyDescent="0.25">
      <c r="A203" s="92"/>
      <c r="B203" s="28" t="s">
        <v>122</v>
      </c>
      <c r="C203" s="28" t="s">
        <v>123</v>
      </c>
      <c r="D203" s="93"/>
      <c r="E203" s="25" t="s">
        <v>45</v>
      </c>
      <c r="F203" s="98" t="s">
        <v>245</v>
      </c>
      <c r="G203" s="25" t="s">
        <v>59</v>
      </c>
      <c r="H203" s="98" t="s">
        <v>259</v>
      </c>
    </row>
    <row r="204" spans="1:8" x14ac:dyDescent="0.25">
      <c r="A204" s="92"/>
      <c r="B204" s="63"/>
      <c r="C204" s="33"/>
      <c r="D204" s="93"/>
      <c r="E204" s="25"/>
      <c r="F204" s="71"/>
      <c r="G204" s="25"/>
      <c r="H204" s="20"/>
    </row>
    <row r="205" spans="1:8" x14ac:dyDescent="0.25">
      <c r="A205" s="92">
        <v>11</v>
      </c>
      <c r="B205" s="87" t="s">
        <v>133</v>
      </c>
      <c r="C205" s="87" t="s">
        <v>142</v>
      </c>
      <c r="D205" s="93">
        <v>22</v>
      </c>
      <c r="E205" s="25" t="s">
        <v>32</v>
      </c>
      <c r="F205" s="97" t="s">
        <v>212</v>
      </c>
      <c r="G205" s="25" t="s">
        <v>47</v>
      </c>
      <c r="H205" s="97" t="s">
        <v>222</v>
      </c>
    </row>
    <row r="206" spans="1:8" x14ac:dyDescent="0.25">
      <c r="A206" s="92"/>
      <c r="B206" s="87"/>
      <c r="C206" s="87"/>
      <c r="D206" s="93"/>
      <c r="E206" s="25" t="s">
        <v>33</v>
      </c>
      <c r="F206" s="98" t="s">
        <v>213</v>
      </c>
      <c r="G206" s="25" t="s">
        <v>48</v>
      </c>
      <c r="H206" s="98" t="s">
        <v>223</v>
      </c>
    </row>
    <row r="207" spans="1:8" x14ac:dyDescent="0.25">
      <c r="A207" s="92"/>
      <c r="B207" s="87"/>
      <c r="C207" s="87"/>
      <c r="D207" s="93"/>
      <c r="E207" s="25" t="s">
        <v>34</v>
      </c>
      <c r="F207" s="97" t="s">
        <v>214</v>
      </c>
      <c r="G207" s="25" t="s">
        <v>49</v>
      </c>
      <c r="H207" s="97" t="s">
        <v>224</v>
      </c>
    </row>
    <row r="208" spans="1:8" x14ac:dyDescent="0.25">
      <c r="A208" s="92"/>
      <c r="B208" s="87"/>
      <c r="C208" s="87"/>
      <c r="D208" s="93"/>
      <c r="E208" s="25" t="s">
        <v>35</v>
      </c>
      <c r="F208" s="98" t="s">
        <v>215</v>
      </c>
      <c r="G208" s="25" t="s">
        <v>50</v>
      </c>
      <c r="H208" s="98" t="s">
        <v>225</v>
      </c>
    </row>
    <row r="209" spans="1:8" x14ac:dyDescent="0.25">
      <c r="A209" s="92"/>
      <c r="B209" s="87"/>
      <c r="C209" s="87"/>
      <c r="D209" s="93"/>
      <c r="E209" s="25" t="s">
        <v>36</v>
      </c>
      <c r="F209" s="97" t="s">
        <v>216</v>
      </c>
      <c r="G209" s="25" t="s">
        <v>51</v>
      </c>
      <c r="H209" s="97" t="s">
        <v>226</v>
      </c>
    </row>
    <row r="210" spans="1:8" x14ac:dyDescent="0.25">
      <c r="A210" s="92"/>
      <c r="B210" s="87"/>
      <c r="C210" s="87"/>
      <c r="D210" s="93"/>
      <c r="E210" s="25" t="s">
        <v>37</v>
      </c>
      <c r="F210" s="98" t="s">
        <v>217</v>
      </c>
      <c r="G210" s="25" t="s">
        <v>46</v>
      </c>
      <c r="H210" s="98" t="s">
        <v>227</v>
      </c>
    </row>
    <row r="211" spans="1:8" x14ac:dyDescent="0.25">
      <c r="A211" s="92"/>
      <c r="B211" s="87"/>
      <c r="C211" s="87"/>
      <c r="D211" s="93"/>
      <c r="E211" s="25" t="s">
        <v>38</v>
      </c>
      <c r="F211" s="97" t="s">
        <v>218</v>
      </c>
      <c r="G211" s="25" t="s">
        <v>52</v>
      </c>
      <c r="H211" s="97" t="s">
        <v>228</v>
      </c>
    </row>
    <row r="212" spans="1:8" x14ac:dyDescent="0.25">
      <c r="A212" s="92"/>
      <c r="B212" s="87"/>
      <c r="C212" s="87"/>
      <c r="D212" s="93"/>
      <c r="E212" s="25" t="s">
        <v>39</v>
      </c>
      <c r="F212" s="98" t="s">
        <v>219</v>
      </c>
      <c r="G212" s="25" t="s">
        <v>53</v>
      </c>
      <c r="H212" s="98" t="s">
        <v>229</v>
      </c>
    </row>
    <row r="213" spans="1:8" x14ac:dyDescent="0.25">
      <c r="A213" s="92"/>
      <c r="B213" s="87"/>
      <c r="C213" s="87"/>
      <c r="D213" s="93"/>
      <c r="E213" s="25" t="s">
        <v>40</v>
      </c>
      <c r="F213" s="97" t="s">
        <v>220</v>
      </c>
      <c r="G213" s="25" t="s">
        <v>54</v>
      </c>
      <c r="H213" s="97" t="s">
        <v>230</v>
      </c>
    </row>
    <row r="214" spans="1:8" x14ac:dyDescent="0.25">
      <c r="A214" s="92"/>
      <c r="B214" s="28" t="s">
        <v>122</v>
      </c>
      <c r="C214" s="28" t="s">
        <v>123</v>
      </c>
      <c r="D214" s="93"/>
      <c r="E214" s="25" t="s">
        <v>41</v>
      </c>
      <c r="F214" s="98" t="s">
        <v>221</v>
      </c>
      <c r="G214" s="25" t="s">
        <v>55</v>
      </c>
      <c r="H214" s="98" t="s">
        <v>231</v>
      </c>
    </row>
    <row r="215" spans="1:8" x14ac:dyDescent="0.25">
      <c r="A215" s="92"/>
      <c r="B215" s="65"/>
      <c r="C215" s="65"/>
      <c r="D215" s="93"/>
      <c r="E215" s="25" t="s">
        <v>42</v>
      </c>
      <c r="F215" s="71"/>
      <c r="G215" s="25" t="s">
        <v>56</v>
      </c>
      <c r="H215" s="78"/>
    </row>
    <row r="216" spans="1:8" x14ac:dyDescent="0.25">
      <c r="A216" s="92">
        <v>12</v>
      </c>
      <c r="B216" s="87" t="s">
        <v>133</v>
      </c>
      <c r="C216" s="87" t="s">
        <v>134</v>
      </c>
      <c r="D216" s="93">
        <v>35</v>
      </c>
      <c r="E216" s="25" t="s">
        <v>32</v>
      </c>
      <c r="F216" s="98" t="s">
        <v>311</v>
      </c>
      <c r="G216" s="25" t="s">
        <v>47</v>
      </c>
      <c r="H216" s="97" t="s">
        <v>328</v>
      </c>
    </row>
    <row r="217" spans="1:8" x14ac:dyDescent="0.25">
      <c r="A217" s="92"/>
      <c r="B217" s="87"/>
      <c r="C217" s="87"/>
      <c r="D217" s="93"/>
      <c r="E217" s="25" t="s">
        <v>33</v>
      </c>
      <c r="F217" s="97" t="s">
        <v>312</v>
      </c>
      <c r="G217" s="25" t="s">
        <v>48</v>
      </c>
      <c r="H217" s="98" t="s">
        <v>329</v>
      </c>
    </row>
    <row r="218" spans="1:8" x14ac:dyDescent="0.25">
      <c r="A218" s="92"/>
      <c r="B218" s="87"/>
      <c r="C218" s="87"/>
      <c r="D218" s="93"/>
      <c r="E218" s="25" t="s">
        <v>34</v>
      </c>
      <c r="F218" s="98" t="s">
        <v>313</v>
      </c>
      <c r="G218" s="25" t="s">
        <v>49</v>
      </c>
      <c r="H218" s="97" t="s">
        <v>330</v>
      </c>
    </row>
    <row r="219" spans="1:8" x14ac:dyDescent="0.25">
      <c r="A219" s="92"/>
      <c r="B219" s="87"/>
      <c r="C219" s="87"/>
      <c r="D219" s="93"/>
      <c r="E219" s="25" t="s">
        <v>35</v>
      </c>
      <c r="F219" s="97" t="s">
        <v>314</v>
      </c>
      <c r="G219" s="25" t="s">
        <v>50</v>
      </c>
      <c r="H219" s="98" t="s">
        <v>331</v>
      </c>
    </row>
    <row r="220" spans="1:8" x14ac:dyDescent="0.25">
      <c r="A220" s="92"/>
      <c r="B220" s="87"/>
      <c r="C220" s="87"/>
      <c r="D220" s="93"/>
      <c r="E220" s="25" t="s">
        <v>36</v>
      </c>
      <c r="F220" s="98" t="s">
        <v>315</v>
      </c>
      <c r="G220" s="25" t="s">
        <v>51</v>
      </c>
      <c r="H220" s="97" t="s">
        <v>332</v>
      </c>
    </row>
    <row r="221" spans="1:8" x14ac:dyDescent="0.25">
      <c r="A221" s="92"/>
      <c r="B221" s="87"/>
      <c r="C221" s="87"/>
      <c r="D221" s="93"/>
      <c r="E221" s="25" t="s">
        <v>37</v>
      </c>
      <c r="F221" s="97" t="s">
        <v>316</v>
      </c>
      <c r="G221" s="25" t="s">
        <v>46</v>
      </c>
      <c r="H221" s="98" t="s">
        <v>333</v>
      </c>
    </row>
    <row r="222" spans="1:8" x14ac:dyDescent="0.25">
      <c r="A222" s="92"/>
      <c r="B222" s="87"/>
      <c r="C222" s="87"/>
      <c r="D222" s="93"/>
      <c r="E222" s="25" t="s">
        <v>38</v>
      </c>
      <c r="F222" s="98" t="s">
        <v>317</v>
      </c>
      <c r="G222" s="25" t="s">
        <v>52</v>
      </c>
      <c r="H222" s="97" t="s">
        <v>334</v>
      </c>
    </row>
    <row r="223" spans="1:8" x14ac:dyDescent="0.25">
      <c r="A223" s="92"/>
      <c r="B223" s="87"/>
      <c r="C223" s="87"/>
      <c r="D223" s="93"/>
      <c r="E223" s="25" t="s">
        <v>39</v>
      </c>
      <c r="F223" s="97" t="s">
        <v>318</v>
      </c>
      <c r="G223" s="25" t="s">
        <v>53</v>
      </c>
      <c r="H223" s="98" t="s">
        <v>335</v>
      </c>
    </row>
    <row r="224" spans="1:8" x14ac:dyDescent="0.25">
      <c r="A224" s="92"/>
      <c r="B224" s="87"/>
      <c r="C224" s="87"/>
      <c r="D224" s="93"/>
      <c r="E224" s="25" t="s">
        <v>40</v>
      </c>
      <c r="F224" s="98" t="s">
        <v>319</v>
      </c>
      <c r="G224" s="25" t="s">
        <v>54</v>
      </c>
      <c r="H224" s="97" t="s">
        <v>336</v>
      </c>
    </row>
    <row r="225" spans="1:8" x14ac:dyDescent="0.25">
      <c r="A225" s="92"/>
      <c r="B225" s="87"/>
      <c r="C225" s="87"/>
      <c r="D225" s="93"/>
      <c r="E225" s="25" t="s">
        <v>41</v>
      </c>
      <c r="F225" s="97" t="s">
        <v>320</v>
      </c>
      <c r="G225" s="25" t="s">
        <v>55</v>
      </c>
      <c r="H225" s="98" t="s">
        <v>337</v>
      </c>
    </row>
    <row r="226" spans="1:8" x14ac:dyDescent="0.25">
      <c r="A226" s="92"/>
      <c r="B226" s="87"/>
      <c r="C226" s="87"/>
      <c r="D226" s="93"/>
      <c r="E226" s="25" t="s">
        <v>42</v>
      </c>
      <c r="F226" s="98" t="s">
        <v>321</v>
      </c>
      <c r="G226" s="25" t="s">
        <v>56</v>
      </c>
      <c r="H226" s="97" t="s">
        <v>338</v>
      </c>
    </row>
    <row r="227" spans="1:8" x14ac:dyDescent="0.25">
      <c r="A227" s="92"/>
      <c r="B227" s="87"/>
      <c r="C227" s="87"/>
      <c r="D227" s="93"/>
      <c r="E227" s="25" t="s">
        <v>43</v>
      </c>
      <c r="F227" s="97" t="s">
        <v>322</v>
      </c>
      <c r="G227" s="25" t="s">
        <v>57</v>
      </c>
      <c r="H227" s="72"/>
    </row>
    <row r="228" spans="1:8" x14ac:dyDescent="0.25">
      <c r="A228" s="92"/>
      <c r="B228" s="87"/>
      <c r="C228" s="87"/>
      <c r="D228" s="93"/>
      <c r="E228" s="25" t="s">
        <v>44</v>
      </c>
      <c r="F228" s="98" t="s">
        <v>323</v>
      </c>
      <c r="G228" s="25" t="s">
        <v>58</v>
      </c>
      <c r="H228" s="71"/>
    </row>
    <row r="229" spans="1:8" x14ac:dyDescent="0.25">
      <c r="A229" s="92"/>
      <c r="B229" s="87"/>
      <c r="C229" s="87"/>
      <c r="D229" s="93"/>
      <c r="E229" s="25" t="s">
        <v>45</v>
      </c>
      <c r="F229" s="97" t="s">
        <v>324</v>
      </c>
      <c r="G229" s="25" t="s">
        <v>59</v>
      </c>
      <c r="H229" s="72"/>
    </row>
    <row r="230" spans="1:8" x14ac:dyDescent="0.25">
      <c r="A230" s="92"/>
      <c r="B230" s="87"/>
      <c r="C230" s="87"/>
      <c r="D230" s="93"/>
      <c r="E230" s="25" t="s">
        <v>62</v>
      </c>
      <c r="F230" s="98" t="s">
        <v>325</v>
      </c>
      <c r="G230" s="25" t="s">
        <v>60</v>
      </c>
      <c r="H230" s="71"/>
    </row>
    <row r="231" spans="1:8" x14ac:dyDescent="0.25">
      <c r="A231" s="92"/>
      <c r="B231" s="28" t="s">
        <v>122</v>
      </c>
      <c r="C231" s="28" t="s">
        <v>123</v>
      </c>
      <c r="D231" s="93"/>
      <c r="E231" s="25" t="s">
        <v>63</v>
      </c>
      <c r="F231" s="97" t="s">
        <v>326</v>
      </c>
      <c r="G231" s="25" t="s">
        <v>61</v>
      </c>
      <c r="H231" s="72"/>
    </row>
    <row r="232" spans="1:8" x14ac:dyDescent="0.25">
      <c r="A232" s="92"/>
      <c r="B232" s="63"/>
      <c r="C232" s="33"/>
      <c r="D232" s="93"/>
      <c r="E232" s="25" t="s">
        <v>64</v>
      </c>
      <c r="F232" s="98" t="s">
        <v>327</v>
      </c>
      <c r="G232" s="25" t="s">
        <v>82</v>
      </c>
      <c r="H232" s="20"/>
    </row>
    <row r="233" spans="1:8" x14ac:dyDescent="0.25">
      <c r="A233" s="92"/>
      <c r="B233" s="65"/>
      <c r="C233" s="20"/>
      <c r="D233" s="93"/>
      <c r="E233" s="25" t="s">
        <v>65</v>
      </c>
      <c r="F233" s="21"/>
      <c r="G233" s="25"/>
      <c r="H233" s="20"/>
    </row>
    <row r="234" spans="1:8" x14ac:dyDescent="0.25">
      <c r="A234" s="92">
        <v>13</v>
      </c>
      <c r="B234" s="87" t="s">
        <v>133</v>
      </c>
      <c r="C234" s="87" t="s">
        <v>141</v>
      </c>
      <c r="D234" s="93">
        <v>25</v>
      </c>
      <c r="E234" s="25" t="s">
        <v>32</v>
      </c>
      <c r="F234" s="97" t="s">
        <v>288</v>
      </c>
      <c r="G234" s="25" t="s">
        <v>47</v>
      </c>
      <c r="H234" s="98" t="s">
        <v>301</v>
      </c>
    </row>
    <row r="235" spans="1:8" x14ac:dyDescent="0.25">
      <c r="A235" s="92"/>
      <c r="B235" s="87"/>
      <c r="C235" s="87"/>
      <c r="D235" s="93"/>
      <c r="E235" s="25" t="s">
        <v>33</v>
      </c>
      <c r="F235" s="98" t="s">
        <v>289</v>
      </c>
      <c r="G235" s="25" t="s">
        <v>48</v>
      </c>
      <c r="H235" s="97" t="s">
        <v>302</v>
      </c>
    </row>
    <row r="236" spans="1:8" x14ac:dyDescent="0.25">
      <c r="A236" s="92"/>
      <c r="B236" s="87"/>
      <c r="C236" s="87"/>
      <c r="D236" s="93"/>
      <c r="E236" s="25" t="s">
        <v>34</v>
      </c>
      <c r="F236" s="97" t="s">
        <v>290</v>
      </c>
      <c r="G236" s="25" t="s">
        <v>49</v>
      </c>
      <c r="H236" s="98" t="s">
        <v>303</v>
      </c>
    </row>
    <row r="237" spans="1:8" x14ac:dyDescent="0.25">
      <c r="A237" s="92"/>
      <c r="B237" s="87"/>
      <c r="C237" s="87"/>
      <c r="D237" s="93"/>
      <c r="E237" s="25" t="s">
        <v>35</v>
      </c>
      <c r="F237" s="98" t="s">
        <v>291</v>
      </c>
      <c r="G237" s="25" t="s">
        <v>50</v>
      </c>
      <c r="H237" s="97" t="s">
        <v>304</v>
      </c>
    </row>
    <row r="238" spans="1:8" x14ac:dyDescent="0.25">
      <c r="A238" s="92"/>
      <c r="B238" s="87"/>
      <c r="C238" s="87"/>
      <c r="D238" s="93"/>
      <c r="E238" s="25" t="s">
        <v>36</v>
      </c>
      <c r="F238" s="97" t="s">
        <v>292</v>
      </c>
      <c r="G238" s="25" t="s">
        <v>51</v>
      </c>
      <c r="H238" s="98" t="s">
        <v>305</v>
      </c>
    </row>
    <row r="239" spans="1:8" x14ac:dyDescent="0.25">
      <c r="A239" s="92"/>
      <c r="B239" s="87"/>
      <c r="C239" s="87"/>
      <c r="D239" s="93"/>
      <c r="E239" s="25" t="s">
        <v>37</v>
      </c>
      <c r="F239" s="98" t="s">
        <v>293</v>
      </c>
      <c r="G239" s="25" t="s">
        <v>46</v>
      </c>
      <c r="H239" s="97" t="s">
        <v>306</v>
      </c>
    </row>
    <row r="240" spans="1:8" x14ac:dyDescent="0.25">
      <c r="A240" s="92"/>
      <c r="B240" s="87"/>
      <c r="C240" s="87"/>
      <c r="D240" s="93"/>
      <c r="E240" s="25" t="s">
        <v>38</v>
      </c>
      <c r="F240" s="97" t="s">
        <v>294</v>
      </c>
      <c r="G240" s="25" t="s">
        <v>52</v>
      </c>
      <c r="H240" s="98" t="s">
        <v>307</v>
      </c>
    </row>
    <row r="241" spans="1:8" x14ac:dyDescent="0.25">
      <c r="A241" s="92"/>
      <c r="B241" s="87"/>
      <c r="C241" s="87"/>
      <c r="D241" s="93"/>
      <c r="E241" s="25" t="s">
        <v>39</v>
      </c>
      <c r="F241" s="98" t="s">
        <v>295</v>
      </c>
      <c r="G241" s="25" t="s">
        <v>53</v>
      </c>
      <c r="H241" s="97" t="s">
        <v>308</v>
      </c>
    </row>
    <row r="242" spans="1:8" x14ac:dyDescent="0.25">
      <c r="A242" s="92"/>
      <c r="B242" s="87"/>
      <c r="C242" s="87"/>
      <c r="D242" s="93"/>
      <c r="E242" s="25" t="s">
        <v>40</v>
      </c>
      <c r="F242" s="97" t="s">
        <v>296</v>
      </c>
      <c r="G242" s="25" t="s">
        <v>54</v>
      </c>
      <c r="H242" s="98" t="s">
        <v>309</v>
      </c>
    </row>
    <row r="243" spans="1:8" x14ac:dyDescent="0.25">
      <c r="A243" s="92"/>
      <c r="B243" s="87"/>
      <c r="C243" s="87"/>
      <c r="D243" s="93"/>
      <c r="E243" s="25" t="s">
        <v>41</v>
      </c>
      <c r="F243" s="98" t="s">
        <v>297</v>
      </c>
      <c r="G243" s="25" t="s">
        <v>55</v>
      </c>
      <c r="H243" s="97" t="s">
        <v>310</v>
      </c>
    </row>
    <row r="244" spans="1:8" x14ac:dyDescent="0.25">
      <c r="A244" s="92"/>
      <c r="B244" s="28" t="s">
        <v>122</v>
      </c>
      <c r="C244" s="28" t="s">
        <v>123</v>
      </c>
      <c r="D244" s="93"/>
      <c r="E244" s="25" t="s">
        <v>42</v>
      </c>
      <c r="F244" s="97" t="s">
        <v>298</v>
      </c>
      <c r="G244" s="25" t="s">
        <v>56</v>
      </c>
      <c r="H244" s="72"/>
    </row>
    <row r="245" spans="1:8" x14ac:dyDescent="0.25">
      <c r="A245" s="92"/>
      <c r="B245" s="28"/>
      <c r="C245" s="28"/>
      <c r="D245" s="93"/>
      <c r="E245" s="25" t="s">
        <v>43</v>
      </c>
      <c r="F245" s="98" t="s">
        <v>299</v>
      </c>
      <c r="G245" s="25" t="s">
        <v>57</v>
      </c>
      <c r="H245" s="71"/>
    </row>
    <row r="246" spans="1:8" x14ac:dyDescent="0.25">
      <c r="A246" s="92"/>
      <c r="B246" s="63"/>
      <c r="C246" s="33"/>
      <c r="D246" s="93"/>
      <c r="E246" s="25" t="s">
        <v>44</v>
      </c>
      <c r="F246" s="97" t="s">
        <v>300</v>
      </c>
      <c r="G246" s="25"/>
      <c r="H246" s="20"/>
    </row>
    <row r="247" spans="1:8" hidden="1" x14ac:dyDescent="0.25">
      <c r="A247" s="92">
        <v>14</v>
      </c>
      <c r="B247" s="87" t="s">
        <v>120</v>
      </c>
      <c r="C247" s="87" t="s">
        <v>121</v>
      </c>
      <c r="D247" s="93">
        <v>15</v>
      </c>
      <c r="E247" s="25" t="s">
        <v>32</v>
      </c>
      <c r="F247" s="71"/>
      <c r="G247" s="25" t="s">
        <v>47</v>
      </c>
      <c r="H247" s="20"/>
    </row>
    <row r="248" spans="1:8" hidden="1" x14ac:dyDescent="0.25">
      <c r="A248" s="92"/>
      <c r="B248" s="87"/>
      <c r="C248" s="87"/>
      <c r="D248" s="93"/>
      <c r="E248" s="25" t="s">
        <v>33</v>
      </c>
      <c r="F248" s="21"/>
      <c r="G248" s="25" t="s">
        <v>48</v>
      </c>
      <c r="H248" s="20"/>
    </row>
    <row r="249" spans="1:8" hidden="1" x14ac:dyDescent="0.25">
      <c r="A249" s="92"/>
      <c r="B249" s="87"/>
      <c r="C249" s="87"/>
      <c r="D249" s="93"/>
      <c r="E249" s="25" t="s">
        <v>34</v>
      </c>
      <c r="F249" s="21"/>
      <c r="G249" s="25" t="s">
        <v>49</v>
      </c>
      <c r="H249" s="20"/>
    </row>
    <row r="250" spans="1:8" hidden="1" x14ac:dyDescent="0.25">
      <c r="A250" s="92"/>
      <c r="B250" s="87"/>
      <c r="C250" s="87"/>
      <c r="D250" s="93"/>
      <c r="E250" s="25" t="s">
        <v>35</v>
      </c>
      <c r="F250" s="21"/>
      <c r="G250" s="25" t="s">
        <v>50</v>
      </c>
      <c r="H250" s="20"/>
    </row>
    <row r="251" spans="1:8" hidden="1" x14ac:dyDescent="0.25">
      <c r="A251" s="92"/>
      <c r="B251" s="87"/>
      <c r="C251" s="87"/>
      <c r="D251" s="93"/>
      <c r="E251" s="25" t="s">
        <v>36</v>
      </c>
      <c r="F251" s="21"/>
      <c r="G251" s="25" t="s">
        <v>51</v>
      </c>
      <c r="H251" s="20"/>
    </row>
    <row r="252" spans="1:8" hidden="1" x14ac:dyDescent="0.25">
      <c r="A252" s="92"/>
      <c r="B252" s="87"/>
      <c r="C252" s="87"/>
      <c r="D252" s="93"/>
      <c r="E252" s="25" t="s">
        <v>37</v>
      </c>
      <c r="F252" s="21"/>
      <c r="G252" s="25" t="s">
        <v>46</v>
      </c>
      <c r="H252" s="20"/>
    </row>
    <row r="253" spans="1:8" hidden="1" x14ac:dyDescent="0.25">
      <c r="A253" s="92"/>
      <c r="B253" s="28" t="s">
        <v>122</v>
      </c>
      <c r="C253" s="28" t="s">
        <v>123</v>
      </c>
      <c r="D253" s="93"/>
      <c r="E253" s="25" t="s">
        <v>38</v>
      </c>
      <c r="F253" s="21"/>
      <c r="G253" s="25" t="s">
        <v>52</v>
      </c>
      <c r="H253" s="20"/>
    </row>
    <row r="254" spans="1:8" hidden="1" x14ac:dyDescent="0.25">
      <c r="A254" s="92"/>
      <c r="B254" s="65"/>
      <c r="C254" s="65"/>
      <c r="D254" s="93"/>
      <c r="E254" s="25" t="s">
        <v>39</v>
      </c>
      <c r="F254" s="21"/>
      <c r="G254" s="69"/>
      <c r="H254" s="20"/>
    </row>
    <row r="255" spans="1:8" hidden="1" x14ac:dyDescent="0.25">
      <c r="A255" s="92">
        <v>15</v>
      </c>
      <c r="B255" s="87" t="s">
        <v>120</v>
      </c>
      <c r="C255" s="87" t="s">
        <v>124</v>
      </c>
      <c r="D255" s="93">
        <v>28</v>
      </c>
      <c r="E255" s="25" t="s">
        <v>32</v>
      </c>
      <c r="F255" s="21"/>
      <c r="G255" s="25" t="s">
        <v>47</v>
      </c>
      <c r="H255" s="20"/>
    </row>
    <row r="256" spans="1:8" hidden="1" x14ac:dyDescent="0.25">
      <c r="A256" s="92"/>
      <c r="B256" s="87"/>
      <c r="C256" s="87"/>
      <c r="D256" s="93"/>
      <c r="E256" s="25" t="s">
        <v>33</v>
      </c>
      <c r="F256" s="21"/>
      <c r="G256" s="25" t="s">
        <v>48</v>
      </c>
      <c r="H256" s="20"/>
    </row>
    <row r="257" spans="1:8" hidden="1" x14ac:dyDescent="0.25">
      <c r="A257" s="92"/>
      <c r="B257" s="87"/>
      <c r="C257" s="87"/>
      <c r="D257" s="93"/>
      <c r="E257" s="25" t="s">
        <v>34</v>
      </c>
      <c r="F257" s="21"/>
      <c r="G257" s="25" t="s">
        <v>49</v>
      </c>
      <c r="H257" s="20"/>
    </row>
    <row r="258" spans="1:8" hidden="1" x14ac:dyDescent="0.25">
      <c r="A258" s="92"/>
      <c r="B258" s="87"/>
      <c r="C258" s="87"/>
      <c r="D258" s="93"/>
      <c r="E258" s="25" t="s">
        <v>35</v>
      </c>
      <c r="F258" s="21"/>
      <c r="G258" s="25" t="s">
        <v>50</v>
      </c>
      <c r="H258" s="20"/>
    </row>
    <row r="259" spans="1:8" hidden="1" x14ac:dyDescent="0.25">
      <c r="A259" s="92"/>
      <c r="B259" s="87"/>
      <c r="C259" s="87"/>
      <c r="D259" s="93"/>
      <c r="E259" s="25" t="s">
        <v>36</v>
      </c>
      <c r="F259" s="21"/>
      <c r="G259" s="25" t="s">
        <v>51</v>
      </c>
      <c r="H259" s="20"/>
    </row>
    <row r="260" spans="1:8" hidden="1" x14ac:dyDescent="0.25">
      <c r="A260" s="92"/>
      <c r="B260" s="87"/>
      <c r="C260" s="87"/>
      <c r="D260" s="93"/>
      <c r="E260" s="25" t="s">
        <v>37</v>
      </c>
      <c r="F260" s="21"/>
      <c r="G260" s="25" t="s">
        <v>46</v>
      </c>
      <c r="H260" s="20"/>
    </row>
    <row r="261" spans="1:8" hidden="1" x14ac:dyDescent="0.25">
      <c r="A261" s="92"/>
      <c r="B261" s="87"/>
      <c r="C261" s="87"/>
      <c r="D261" s="93"/>
      <c r="E261" s="25" t="s">
        <v>38</v>
      </c>
      <c r="F261" s="21"/>
      <c r="G261" s="25" t="s">
        <v>52</v>
      </c>
      <c r="H261" s="20"/>
    </row>
    <row r="262" spans="1:8" hidden="1" x14ac:dyDescent="0.25">
      <c r="A262" s="92"/>
      <c r="B262" s="87"/>
      <c r="C262" s="87"/>
      <c r="D262" s="93"/>
      <c r="E262" s="25" t="s">
        <v>39</v>
      </c>
      <c r="F262" s="21"/>
      <c r="G262" s="25" t="s">
        <v>53</v>
      </c>
      <c r="H262" s="20"/>
    </row>
    <row r="263" spans="1:8" hidden="1" x14ac:dyDescent="0.25">
      <c r="A263" s="92"/>
      <c r="B263" s="87"/>
      <c r="C263" s="87"/>
      <c r="D263" s="93"/>
      <c r="E263" s="25" t="s">
        <v>40</v>
      </c>
      <c r="F263" s="21"/>
      <c r="G263" s="25" t="s">
        <v>54</v>
      </c>
      <c r="H263" s="20"/>
    </row>
    <row r="264" spans="1:8" hidden="1" x14ac:dyDescent="0.25">
      <c r="A264" s="92"/>
      <c r="B264" s="87"/>
      <c r="C264" s="87"/>
      <c r="D264" s="93"/>
      <c r="E264" s="25" t="s">
        <v>41</v>
      </c>
      <c r="F264" s="21"/>
      <c r="G264" s="25" t="s">
        <v>55</v>
      </c>
      <c r="H264" s="20"/>
    </row>
    <row r="265" spans="1:8" hidden="1" x14ac:dyDescent="0.25">
      <c r="A265" s="92"/>
      <c r="B265" s="87"/>
      <c r="C265" s="87"/>
      <c r="D265" s="93"/>
      <c r="E265" s="25" t="s">
        <v>42</v>
      </c>
      <c r="F265" s="21"/>
      <c r="G265" s="25" t="s">
        <v>56</v>
      </c>
      <c r="H265" s="20"/>
    </row>
    <row r="266" spans="1:8" hidden="1" x14ac:dyDescent="0.25">
      <c r="A266" s="92"/>
      <c r="B266" s="87"/>
      <c r="C266" s="87"/>
      <c r="D266" s="93"/>
      <c r="E266" s="25" t="s">
        <v>43</v>
      </c>
      <c r="F266" s="21"/>
      <c r="G266" s="25" t="s">
        <v>57</v>
      </c>
      <c r="H266" s="20"/>
    </row>
    <row r="267" spans="1:8" hidden="1" x14ac:dyDescent="0.25">
      <c r="A267" s="92"/>
      <c r="B267" s="28" t="s">
        <v>122</v>
      </c>
      <c r="C267" s="28" t="s">
        <v>123</v>
      </c>
      <c r="D267" s="93"/>
      <c r="E267" s="25" t="s">
        <v>44</v>
      </c>
      <c r="F267" s="21"/>
      <c r="G267" s="25" t="s">
        <v>58</v>
      </c>
      <c r="H267" s="20"/>
    </row>
    <row r="268" spans="1:8" hidden="1" x14ac:dyDescent="0.25">
      <c r="A268" s="92"/>
      <c r="B268" s="65"/>
      <c r="C268" s="65"/>
      <c r="D268" s="93"/>
      <c r="E268" s="25" t="s">
        <v>45</v>
      </c>
      <c r="F268" s="21"/>
      <c r="G268" s="25" t="s">
        <v>59</v>
      </c>
      <c r="H268" s="20"/>
    </row>
    <row r="269" spans="1:8" hidden="1" x14ac:dyDescent="0.25">
      <c r="A269" s="92">
        <v>16</v>
      </c>
      <c r="B269" s="87" t="s">
        <v>146</v>
      </c>
      <c r="C269" s="87" t="s">
        <v>147</v>
      </c>
      <c r="D269" s="93">
        <v>22</v>
      </c>
      <c r="E269" s="25" t="s">
        <v>32</v>
      </c>
      <c r="F269" s="21"/>
      <c r="G269" s="25" t="s">
        <v>47</v>
      </c>
      <c r="H269" s="20"/>
    </row>
    <row r="270" spans="1:8" hidden="1" x14ac:dyDescent="0.25">
      <c r="A270" s="92"/>
      <c r="B270" s="87"/>
      <c r="C270" s="87"/>
      <c r="D270" s="93"/>
      <c r="E270" s="25" t="s">
        <v>33</v>
      </c>
      <c r="F270" s="21"/>
      <c r="G270" s="25" t="s">
        <v>48</v>
      </c>
      <c r="H270" s="20"/>
    </row>
    <row r="271" spans="1:8" hidden="1" x14ac:dyDescent="0.25">
      <c r="A271" s="92"/>
      <c r="B271" s="87"/>
      <c r="C271" s="87"/>
      <c r="D271" s="93"/>
      <c r="E271" s="25" t="s">
        <v>34</v>
      </c>
      <c r="F271" s="21"/>
      <c r="G271" s="25" t="s">
        <v>49</v>
      </c>
      <c r="H271" s="20"/>
    </row>
    <row r="272" spans="1:8" hidden="1" x14ac:dyDescent="0.25">
      <c r="A272" s="92"/>
      <c r="B272" s="87"/>
      <c r="C272" s="87"/>
      <c r="D272" s="93"/>
      <c r="E272" s="25" t="s">
        <v>35</v>
      </c>
      <c r="F272" s="21"/>
      <c r="G272" s="25" t="s">
        <v>50</v>
      </c>
      <c r="H272" s="20"/>
    </row>
    <row r="273" spans="1:8" hidden="1" x14ac:dyDescent="0.25">
      <c r="A273" s="92"/>
      <c r="B273" s="87"/>
      <c r="C273" s="87"/>
      <c r="D273" s="93"/>
      <c r="E273" s="25" t="s">
        <v>36</v>
      </c>
      <c r="F273" s="21"/>
      <c r="G273" s="25" t="s">
        <v>51</v>
      </c>
      <c r="H273" s="20"/>
    </row>
    <row r="274" spans="1:8" hidden="1" x14ac:dyDescent="0.25">
      <c r="A274" s="92"/>
      <c r="B274" s="87"/>
      <c r="C274" s="87"/>
      <c r="D274" s="93"/>
      <c r="E274" s="25" t="s">
        <v>37</v>
      </c>
      <c r="F274" s="21"/>
      <c r="G274" s="25" t="s">
        <v>46</v>
      </c>
      <c r="H274" s="20"/>
    </row>
    <row r="275" spans="1:8" hidden="1" x14ac:dyDescent="0.25">
      <c r="A275" s="92"/>
      <c r="B275" s="87"/>
      <c r="C275" s="87"/>
      <c r="D275" s="93"/>
      <c r="E275" s="25" t="s">
        <v>38</v>
      </c>
      <c r="F275" s="21"/>
      <c r="G275" s="25" t="s">
        <v>52</v>
      </c>
      <c r="H275" s="20"/>
    </row>
    <row r="276" spans="1:8" hidden="1" x14ac:dyDescent="0.25">
      <c r="A276" s="92"/>
      <c r="B276" s="87"/>
      <c r="C276" s="87"/>
      <c r="D276" s="93"/>
      <c r="E276" s="25" t="s">
        <v>39</v>
      </c>
      <c r="F276" s="21"/>
      <c r="G276" s="25" t="s">
        <v>53</v>
      </c>
      <c r="H276" s="20"/>
    </row>
    <row r="277" spans="1:8" hidden="1" x14ac:dyDescent="0.25">
      <c r="A277" s="92"/>
      <c r="B277" s="28" t="s">
        <v>122</v>
      </c>
      <c r="C277" s="28" t="s">
        <v>123</v>
      </c>
      <c r="D277" s="93"/>
      <c r="E277" s="25" t="s">
        <v>40</v>
      </c>
      <c r="F277" s="21"/>
      <c r="G277" s="25" t="s">
        <v>54</v>
      </c>
      <c r="H277" s="20"/>
    </row>
    <row r="278" spans="1:8" hidden="1" x14ac:dyDescent="0.25">
      <c r="A278" s="92"/>
      <c r="B278" s="28"/>
      <c r="C278" s="28"/>
      <c r="D278" s="93"/>
      <c r="E278" s="25" t="s">
        <v>41</v>
      </c>
      <c r="F278" s="21"/>
      <c r="G278" s="25" t="s">
        <v>55</v>
      </c>
      <c r="H278" s="20"/>
    </row>
    <row r="279" spans="1:8" hidden="1" x14ac:dyDescent="0.25">
      <c r="A279" s="92"/>
      <c r="B279" s="65"/>
      <c r="C279" s="65"/>
      <c r="D279" s="93"/>
      <c r="E279" s="25" t="s">
        <v>42</v>
      </c>
      <c r="F279" s="21"/>
      <c r="G279" s="25" t="s">
        <v>56</v>
      </c>
      <c r="H279" s="20"/>
    </row>
    <row r="280" spans="1:8" hidden="1" x14ac:dyDescent="0.25">
      <c r="A280" s="92">
        <v>17</v>
      </c>
      <c r="B280" s="87" t="s">
        <v>125</v>
      </c>
      <c r="C280" s="87" t="s">
        <v>127</v>
      </c>
      <c r="D280" s="93">
        <v>20</v>
      </c>
      <c r="E280" s="25" t="s">
        <v>32</v>
      </c>
      <c r="F280" s="21"/>
      <c r="G280" s="25" t="s">
        <v>47</v>
      </c>
      <c r="H280" s="20"/>
    </row>
    <row r="281" spans="1:8" hidden="1" x14ac:dyDescent="0.25">
      <c r="A281" s="92"/>
      <c r="B281" s="87"/>
      <c r="C281" s="87"/>
      <c r="D281" s="93"/>
      <c r="E281" s="25" t="s">
        <v>33</v>
      </c>
      <c r="F281" s="21"/>
      <c r="G281" s="25" t="s">
        <v>48</v>
      </c>
      <c r="H281" s="20"/>
    </row>
    <row r="282" spans="1:8" hidden="1" x14ac:dyDescent="0.25">
      <c r="A282" s="92"/>
      <c r="B282" s="87"/>
      <c r="C282" s="87"/>
      <c r="D282" s="93"/>
      <c r="E282" s="25" t="s">
        <v>34</v>
      </c>
      <c r="F282" s="21"/>
      <c r="G282" s="25" t="s">
        <v>49</v>
      </c>
      <c r="H282" s="20"/>
    </row>
    <row r="283" spans="1:8" hidden="1" x14ac:dyDescent="0.25">
      <c r="A283" s="92"/>
      <c r="B283" s="87"/>
      <c r="C283" s="87"/>
      <c r="D283" s="93"/>
      <c r="E283" s="25" t="s">
        <v>35</v>
      </c>
      <c r="F283" s="21"/>
      <c r="G283" s="25" t="s">
        <v>50</v>
      </c>
      <c r="H283" s="20"/>
    </row>
    <row r="284" spans="1:8" hidden="1" x14ac:dyDescent="0.25">
      <c r="A284" s="92"/>
      <c r="B284" s="87"/>
      <c r="C284" s="87"/>
      <c r="D284" s="93"/>
      <c r="E284" s="25" t="s">
        <v>36</v>
      </c>
      <c r="F284" s="21"/>
      <c r="G284" s="25" t="s">
        <v>51</v>
      </c>
      <c r="H284" s="20"/>
    </row>
    <row r="285" spans="1:8" hidden="1" x14ac:dyDescent="0.25">
      <c r="A285" s="92"/>
      <c r="B285" s="87"/>
      <c r="C285" s="87"/>
      <c r="D285" s="93"/>
      <c r="E285" s="25" t="s">
        <v>37</v>
      </c>
      <c r="F285" s="21"/>
      <c r="G285" s="25" t="s">
        <v>46</v>
      </c>
      <c r="H285" s="20"/>
    </row>
    <row r="286" spans="1:8" hidden="1" x14ac:dyDescent="0.25">
      <c r="A286" s="92"/>
      <c r="B286" s="87"/>
      <c r="C286" s="87"/>
      <c r="D286" s="93"/>
      <c r="E286" s="25" t="s">
        <v>38</v>
      </c>
      <c r="F286" s="21"/>
      <c r="G286" s="25" t="s">
        <v>52</v>
      </c>
      <c r="H286" s="20"/>
    </row>
    <row r="287" spans="1:8" hidden="1" x14ac:dyDescent="0.25">
      <c r="A287" s="92"/>
      <c r="B287" s="87"/>
      <c r="C287" s="87"/>
      <c r="D287" s="93"/>
      <c r="E287" s="25" t="s">
        <v>39</v>
      </c>
      <c r="F287" s="21"/>
      <c r="G287" s="25" t="s">
        <v>53</v>
      </c>
      <c r="H287" s="20"/>
    </row>
    <row r="288" spans="1:8" hidden="1" x14ac:dyDescent="0.25">
      <c r="A288" s="92"/>
      <c r="B288" s="87"/>
      <c r="C288" s="87"/>
      <c r="D288" s="93"/>
      <c r="E288" s="25" t="s">
        <v>40</v>
      </c>
      <c r="F288" s="21"/>
      <c r="G288" s="25" t="s">
        <v>54</v>
      </c>
      <c r="H288" s="20"/>
    </row>
    <row r="289" spans="1:8" hidden="1" x14ac:dyDescent="0.25">
      <c r="A289" s="92"/>
      <c r="B289" s="28" t="s">
        <v>122</v>
      </c>
      <c r="C289" s="28" t="s">
        <v>123</v>
      </c>
      <c r="D289" s="93"/>
      <c r="E289" s="25" t="s">
        <v>41</v>
      </c>
      <c r="F289" s="21"/>
      <c r="G289" s="25" t="s">
        <v>55</v>
      </c>
      <c r="H289" s="20"/>
    </row>
    <row r="290" spans="1:8" hidden="1" x14ac:dyDescent="0.25">
      <c r="A290" s="92"/>
      <c r="B290" s="65"/>
      <c r="C290" s="65"/>
      <c r="D290" s="93"/>
      <c r="E290" s="25"/>
      <c r="F290" s="21"/>
      <c r="G290" s="25"/>
      <c r="H290" s="20"/>
    </row>
    <row r="291" spans="1:8" x14ac:dyDescent="0.25">
      <c r="A291" s="92">
        <v>18</v>
      </c>
      <c r="B291" s="87" t="s">
        <v>133</v>
      </c>
      <c r="C291" s="87" t="s">
        <v>143</v>
      </c>
      <c r="D291" s="93">
        <v>20</v>
      </c>
      <c r="E291" s="25" t="s">
        <v>32</v>
      </c>
      <c r="F291" s="97" t="s">
        <v>192</v>
      </c>
      <c r="G291" s="25" t="s">
        <v>47</v>
      </c>
      <c r="H291" s="97" t="s">
        <v>202</v>
      </c>
    </row>
    <row r="292" spans="1:8" x14ac:dyDescent="0.25">
      <c r="A292" s="92"/>
      <c r="B292" s="87"/>
      <c r="C292" s="87"/>
      <c r="D292" s="93"/>
      <c r="E292" s="25" t="s">
        <v>33</v>
      </c>
      <c r="F292" s="98" t="s">
        <v>193</v>
      </c>
      <c r="G292" s="25" t="s">
        <v>48</v>
      </c>
      <c r="H292" s="98" t="s">
        <v>203</v>
      </c>
    </row>
    <row r="293" spans="1:8" x14ac:dyDescent="0.25">
      <c r="A293" s="92"/>
      <c r="B293" s="87"/>
      <c r="C293" s="87"/>
      <c r="D293" s="93"/>
      <c r="E293" s="25" t="s">
        <v>34</v>
      </c>
      <c r="F293" s="97" t="s">
        <v>194</v>
      </c>
      <c r="G293" s="25" t="s">
        <v>49</v>
      </c>
      <c r="H293" s="97" t="s">
        <v>204</v>
      </c>
    </row>
    <row r="294" spans="1:8" x14ac:dyDescent="0.25">
      <c r="A294" s="92"/>
      <c r="B294" s="87"/>
      <c r="C294" s="87"/>
      <c r="D294" s="93"/>
      <c r="E294" s="25" t="s">
        <v>35</v>
      </c>
      <c r="F294" s="98" t="s">
        <v>195</v>
      </c>
      <c r="G294" s="25" t="s">
        <v>50</v>
      </c>
      <c r="H294" s="98" t="s">
        <v>205</v>
      </c>
    </row>
    <row r="295" spans="1:8" x14ac:dyDescent="0.25">
      <c r="A295" s="92"/>
      <c r="B295" s="87"/>
      <c r="C295" s="87"/>
      <c r="D295" s="93"/>
      <c r="E295" s="25" t="s">
        <v>36</v>
      </c>
      <c r="F295" s="97" t="s">
        <v>196</v>
      </c>
      <c r="G295" s="25" t="s">
        <v>51</v>
      </c>
      <c r="H295" s="97" t="s">
        <v>206</v>
      </c>
    </row>
    <row r="296" spans="1:8" x14ac:dyDescent="0.25">
      <c r="A296" s="92"/>
      <c r="B296" s="87"/>
      <c r="C296" s="87"/>
      <c r="D296" s="93"/>
      <c r="E296" s="25" t="s">
        <v>37</v>
      </c>
      <c r="F296" s="98" t="s">
        <v>197</v>
      </c>
      <c r="G296" s="25" t="s">
        <v>46</v>
      </c>
      <c r="H296" s="98" t="s">
        <v>207</v>
      </c>
    </row>
    <row r="297" spans="1:8" x14ac:dyDescent="0.25">
      <c r="A297" s="92"/>
      <c r="B297" s="87"/>
      <c r="C297" s="87"/>
      <c r="D297" s="93"/>
      <c r="E297" s="25" t="s">
        <v>38</v>
      </c>
      <c r="F297" s="97" t="s">
        <v>198</v>
      </c>
      <c r="G297" s="25" t="s">
        <v>52</v>
      </c>
      <c r="H297" s="97" t="s">
        <v>208</v>
      </c>
    </row>
    <row r="298" spans="1:8" x14ac:dyDescent="0.25">
      <c r="A298" s="92"/>
      <c r="B298" s="87"/>
      <c r="C298" s="87"/>
      <c r="D298" s="93"/>
      <c r="E298" s="25" t="s">
        <v>39</v>
      </c>
      <c r="F298" s="98" t="s">
        <v>199</v>
      </c>
      <c r="G298" s="25" t="s">
        <v>53</v>
      </c>
      <c r="H298" s="98" t="s">
        <v>209</v>
      </c>
    </row>
    <row r="299" spans="1:8" x14ac:dyDescent="0.25">
      <c r="A299" s="92"/>
      <c r="B299" s="28" t="s">
        <v>122</v>
      </c>
      <c r="C299" s="28" t="s">
        <v>123</v>
      </c>
      <c r="D299" s="93"/>
      <c r="E299" s="25" t="s">
        <v>40</v>
      </c>
      <c r="F299" s="97" t="s">
        <v>200</v>
      </c>
      <c r="G299" s="25" t="s">
        <v>54</v>
      </c>
      <c r="H299" s="97" t="s">
        <v>210</v>
      </c>
    </row>
    <row r="300" spans="1:8" x14ac:dyDescent="0.25">
      <c r="A300" s="92"/>
      <c r="B300" s="28"/>
      <c r="C300" s="28"/>
      <c r="D300" s="93"/>
      <c r="E300" s="25" t="s">
        <v>41</v>
      </c>
      <c r="F300" s="98" t="s">
        <v>201</v>
      </c>
      <c r="G300" s="25" t="s">
        <v>55</v>
      </c>
      <c r="H300" s="98" t="s">
        <v>211</v>
      </c>
    </row>
    <row r="301" spans="1:8" x14ac:dyDescent="0.25">
      <c r="A301" s="92"/>
      <c r="B301" s="28"/>
      <c r="C301" s="28"/>
      <c r="D301" s="93"/>
      <c r="E301" s="25" t="s">
        <v>42</v>
      </c>
      <c r="F301" s="71"/>
      <c r="G301" s="25" t="s">
        <v>56</v>
      </c>
      <c r="H301" s="71"/>
    </row>
    <row r="302" spans="1:8" x14ac:dyDescent="0.25">
      <c r="A302" s="92"/>
      <c r="B302" s="20"/>
      <c r="C302" s="20"/>
      <c r="D302" s="93"/>
      <c r="E302" s="25" t="s">
        <v>43</v>
      </c>
      <c r="F302" s="72"/>
      <c r="G302" s="25" t="s">
        <v>57</v>
      </c>
      <c r="H302" s="20"/>
    </row>
    <row r="303" spans="1:8" x14ac:dyDescent="0.25">
      <c r="A303" s="92">
        <v>19</v>
      </c>
      <c r="B303" s="87" t="s">
        <v>133</v>
      </c>
      <c r="C303" s="87" t="s">
        <v>148</v>
      </c>
      <c r="D303" s="93">
        <v>15</v>
      </c>
      <c r="E303" s="25" t="s">
        <v>32</v>
      </c>
      <c r="F303" s="97" t="s">
        <v>178</v>
      </c>
      <c r="G303" s="25" t="s">
        <v>47</v>
      </c>
      <c r="H303" s="98" t="s">
        <v>185</v>
      </c>
    </row>
    <row r="304" spans="1:8" x14ac:dyDescent="0.25">
      <c r="A304" s="92"/>
      <c r="B304" s="87"/>
      <c r="C304" s="87"/>
      <c r="D304" s="93"/>
      <c r="E304" s="25" t="s">
        <v>33</v>
      </c>
      <c r="F304" s="98" t="s">
        <v>179</v>
      </c>
      <c r="G304" s="25" t="s">
        <v>48</v>
      </c>
      <c r="H304" s="97" t="s">
        <v>186</v>
      </c>
    </row>
    <row r="305" spans="1:8" x14ac:dyDescent="0.25">
      <c r="A305" s="92"/>
      <c r="B305" s="87"/>
      <c r="C305" s="87"/>
      <c r="D305" s="93"/>
      <c r="E305" s="25" t="s">
        <v>34</v>
      </c>
      <c r="F305" s="97" t="s">
        <v>180</v>
      </c>
      <c r="G305" s="25" t="s">
        <v>49</v>
      </c>
      <c r="H305" s="98" t="s">
        <v>187</v>
      </c>
    </row>
    <row r="306" spans="1:8" x14ac:dyDescent="0.25">
      <c r="A306" s="92"/>
      <c r="B306" s="87"/>
      <c r="C306" s="87"/>
      <c r="D306" s="93"/>
      <c r="E306" s="25" t="s">
        <v>35</v>
      </c>
      <c r="F306" s="98" t="s">
        <v>181</v>
      </c>
      <c r="G306" s="25" t="s">
        <v>50</v>
      </c>
      <c r="H306" s="97" t="s">
        <v>188</v>
      </c>
    </row>
    <row r="307" spans="1:8" x14ac:dyDescent="0.25">
      <c r="A307" s="92"/>
      <c r="B307" s="87"/>
      <c r="C307" s="87"/>
      <c r="D307" s="93"/>
      <c r="E307" s="25" t="s">
        <v>36</v>
      </c>
      <c r="F307" s="97" t="s">
        <v>182</v>
      </c>
      <c r="G307" s="25" t="s">
        <v>51</v>
      </c>
      <c r="H307" s="98" t="s">
        <v>189</v>
      </c>
    </row>
    <row r="308" spans="1:8" x14ac:dyDescent="0.25">
      <c r="A308" s="92"/>
      <c r="B308" s="87"/>
      <c r="C308" s="87"/>
      <c r="D308" s="93"/>
      <c r="E308" s="25" t="s">
        <v>37</v>
      </c>
      <c r="F308" s="98" t="s">
        <v>183</v>
      </c>
      <c r="G308" s="25" t="s">
        <v>46</v>
      </c>
      <c r="H308" s="97" t="s">
        <v>190</v>
      </c>
    </row>
    <row r="309" spans="1:8" x14ac:dyDescent="0.25">
      <c r="A309" s="92"/>
      <c r="B309" s="28" t="s">
        <v>122</v>
      </c>
      <c r="C309" s="28" t="s">
        <v>123</v>
      </c>
      <c r="D309" s="93"/>
      <c r="E309" s="25" t="s">
        <v>38</v>
      </c>
      <c r="F309" s="97" t="s">
        <v>184</v>
      </c>
      <c r="G309" s="25" t="s">
        <v>52</v>
      </c>
      <c r="H309" s="98" t="s">
        <v>191</v>
      </c>
    </row>
    <row r="310" spans="1:8" x14ac:dyDescent="0.25">
      <c r="A310" s="92"/>
      <c r="B310" s="65"/>
      <c r="C310" s="65"/>
      <c r="D310" s="93"/>
      <c r="E310" s="25" t="s">
        <v>39</v>
      </c>
      <c r="F310" s="21"/>
      <c r="G310" s="66"/>
      <c r="H310" s="20"/>
    </row>
    <row r="311" spans="1:8" hidden="1" x14ac:dyDescent="0.25">
      <c r="A311" s="92">
        <v>20</v>
      </c>
      <c r="B311" s="87" t="s">
        <v>133</v>
      </c>
      <c r="C311" s="87" t="s">
        <v>149</v>
      </c>
      <c r="D311" s="93">
        <v>14</v>
      </c>
      <c r="E311" s="25" t="s">
        <v>32</v>
      </c>
      <c r="F311" s="21"/>
      <c r="G311" s="25" t="s">
        <v>47</v>
      </c>
      <c r="H311" s="20"/>
    </row>
    <row r="312" spans="1:8" hidden="1" x14ac:dyDescent="0.25">
      <c r="A312" s="92"/>
      <c r="B312" s="87"/>
      <c r="C312" s="87"/>
      <c r="D312" s="93"/>
      <c r="E312" s="25" t="s">
        <v>33</v>
      </c>
      <c r="F312" s="21"/>
      <c r="G312" s="25" t="s">
        <v>48</v>
      </c>
      <c r="H312" s="20"/>
    </row>
    <row r="313" spans="1:8" hidden="1" x14ac:dyDescent="0.25">
      <c r="A313" s="92"/>
      <c r="B313" s="87"/>
      <c r="C313" s="87"/>
      <c r="D313" s="93"/>
      <c r="E313" s="25" t="s">
        <v>34</v>
      </c>
      <c r="F313" s="21"/>
      <c r="G313" s="25" t="s">
        <v>49</v>
      </c>
      <c r="H313" s="20"/>
    </row>
    <row r="314" spans="1:8" hidden="1" x14ac:dyDescent="0.25">
      <c r="A314" s="92"/>
      <c r="B314" s="87"/>
      <c r="C314" s="87"/>
      <c r="D314" s="93"/>
      <c r="E314" s="25" t="s">
        <v>35</v>
      </c>
      <c r="F314" s="21"/>
      <c r="G314" s="25" t="s">
        <v>50</v>
      </c>
      <c r="H314" s="20"/>
    </row>
    <row r="315" spans="1:8" hidden="1" x14ac:dyDescent="0.25">
      <c r="A315" s="92"/>
      <c r="B315" s="87"/>
      <c r="C315" s="87"/>
      <c r="D315" s="93"/>
      <c r="E315" s="25" t="s">
        <v>36</v>
      </c>
      <c r="F315" s="21"/>
      <c r="G315" s="25" t="s">
        <v>51</v>
      </c>
      <c r="H315" s="20"/>
    </row>
    <row r="316" spans="1:8" hidden="1" x14ac:dyDescent="0.25">
      <c r="A316" s="92"/>
      <c r="B316" s="87"/>
      <c r="C316" s="87"/>
      <c r="D316" s="93"/>
      <c r="E316" s="25" t="s">
        <v>37</v>
      </c>
      <c r="F316" s="21"/>
      <c r="G316" s="25" t="s">
        <v>46</v>
      </c>
      <c r="H316" s="20"/>
    </row>
    <row r="317" spans="1:8" hidden="1" x14ac:dyDescent="0.25">
      <c r="A317" s="92"/>
      <c r="B317" s="28" t="s">
        <v>122</v>
      </c>
      <c r="C317" s="28" t="s">
        <v>123</v>
      </c>
      <c r="D317" s="93"/>
      <c r="E317" s="25" t="s">
        <v>38</v>
      </c>
      <c r="F317" s="21"/>
      <c r="G317" s="25" t="s">
        <v>52</v>
      </c>
      <c r="H317" s="20"/>
    </row>
    <row r="318" spans="1:8" hidden="1" x14ac:dyDescent="0.25">
      <c r="A318" s="92"/>
      <c r="B318" s="65"/>
      <c r="C318" s="65"/>
      <c r="D318" s="93"/>
      <c r="E318" s="25"/>
      <c r="F318" s="20"/>
      <c r="G318" s="25"/>
      <c r="H318" s="22"/>
    </row>
    <row r="319" spans="1:8" hidden="1" x14ac:dyDescent="0.25">
      <c r="A319" s="92">
        <v>21</v>
      </c>
      <c r="B319" s="87" t="s">
        <v>144</v>
      </c>
      <c r="C319" s="87" t="s">
        <v>145</v>
      </c>
      <c r="D319" s="93">
        <v>20</v>
      </c>
      <c r="E319" s="25" t="s">
        <v>32</v>
      </c>
      <c r="F319" s="20"/>
      <c r="G319" s="25" t="s">
        <v>47</v>
      </c>
      <c r="H319" s="20"/>
    </row>
    <row r="320" spans="1:8" hidden="1" x14ac:dyDescent="0.25">
      <c r="A320" s="92"/>
      <c r="B320" s="87"/>
      <c r="C320" s="87"/>
      <c r="D320" s="93"/>
      <c r="E320" s="25" t="s">
        <v>33</v>
      </c>
      <c r="F320" s="20"/>
      <c r="G320" s="25" t="s">
        <v>48</v>
      </c>
      <c r="H320" s="20"/>
    </row>
    <row r="321" spans="1:8" hidden="1" x14ac:dyDescent="0.25">
      <c r="A321" s="92"/>
      <c r="B321" s="87"/>
      <c r="C321" s="87"/>
      <c r="D321" s="93"/>
      <c r="E321" s="25" t="s">
        <v>34</v>
      </c>
      <c r="F321" s="20"/>
      <c r="G321" s="25" t="s">
        <v>49</v>
      </c>
      <c r="H321" s="20"/>
    </row>
    <row r="322" spans="1:8" hidden="1" x14ac:dyDescent="0.25">
      <c r="A322" s="92"/>
      <c r="B322" s="87"/>
      <c r="C322" s="87"/>
      <c r="D322" s="93"/>
      <c r="E322" s="25" t="s">
        <v>35</v>
      </c>
      <c r="F322" s="20"/>
      <c r="G322" s="25" t="s">
        <v>50</v>
      </c>
      <c r="H322" s="20"/>
    </row>
    <row r="323" spans="1:8" hidden="1" x14ac:dyDescent="0.25">
      <c r="A323" s="92"/>
      <c r="B323" s="87"/>
      <c r="C323" s="87"/>
      <c r="D323" s="93"/>
      <c r="E323" s="25" t="s">
        <v>36</v>
      </c>
      <c r="F323" s="20"/>
      <c r="G323" s="25" t="s">
        <v>51</v>
      </c>
      <c r="H323" s="20"/>
    </row>
    <row r="324" spans="1:8" hidden="1" x14ac:dyDescent="0.25">
      <c r="A324" s="92"/>
      <c r="B324" s="87"/>
      <c r="C324" s="87"/>
      <c r="D324" s="93"/>
      <c r="E324" s="25" t="s">
        <v>37</v>
      </c>
      <c r="F324" s="20"/>
      <c r="G324" s="25" t="s">
        <v>46</v>
      </c>
      <c r="H324" s="20"/>
    </row>
    <row r="325" spans="1:8" hidden="1" x14ac:dyDescent="0.25">
      <c r="A325" s="92"/>
      <c r="B325" s="87"/>
      <c r="C325" s="87"/>
      <c r="D325" s="93"/>
      <c r="E325" s="25" t="s">
        <v>38</v>
      </c>
      <c r="F325" s="20"/>
      <c r="G325" s="25" t="s">
        <v>52</v>
      </c>
      <c r="H325" s="20"/>
    </row>
    <row r="326" spans="1:8" hidden="1" x14ac:dyDescent="0.25">
      <c r="A326" s="92"/>
      <c r="B326" s="87"/>
      <c r="C326" s="87"/>
      <c r="D326" s="93"/>
      <c r="E326" s="25" t="s">
        <v>39</v>
      </c>
      <c r="F326" s="20"/>
      <c r="G326" s="25" t="s">
        <v>53</v>
      </c>
      <c r="H326" s="20"/>
    </row>
    <row r="327" spans="1:8" hidden="1" x14ac:dyDescent="0.25">
      <c r="A327" s="92"/>
      <c r="B327" s="28" t="s">
        <v>122</v>
      </c>
      <c r="C327" s="28" t="s">
        <v>123</v>
      </c>
      <c r="D327" s="93"/>
      <c r="E327" s="25" t="s">
        <v>40</v>
      </c>
      <c r="F327" s="20"/>
      <c r="G327" s="25" t="s">
        <v>54</v>
      </c>
      <c r="H327" s="20"/>
    </row>
    <row r="328" spans="1:8" hidden="1" x14ac:dyDescent="0.25">
      <c r="A328" s="92"/>
      <c r="B328" s="65"/>
      <c r="C328" s="65"/>
      <c r="D328" s="93"/>
      <c r="E328" s="25" t="s">
        <v>41</v>
      </c>
      <c r="F328" s="20"/>
      <c r="G328" s="25" t="s">
        <v>55</v>
      </c>
      <c r="H328" s="20"/>
    </row>
    <row r="329" spans="1:8" hidden="1" x14ac:dyDescent="0.25">
      <c r="A329" s="92">
        <v>22</v>
      </c>
      <c r="B329" s="87" t="s">
        <v>150</v>
      </c>
      <c r="C329" s="87" t="s">
        <v>147</v>
      </c>
      <c r="D329" s="93">
        <v>14</v>
      </c>
      <c r="E329" s="25" t="s">
        <v>32</v>
      </c>
      <c r="F329" s="20"/>
      <c r="G329" s="25" t="s">
        <v>47</v>
      </c>
      <c r="H329" s="20"/>
    </row>
    <row r="330" spans="1:8" hidden="1" x14ac:dyDescent="0.25">
      <c r="A330" s="92"/>
      <c r="B330" s="87"/>
      <c r="C330" s="87"/>
      <c r="D330" s="93"/>
      <c r="E330" s="25" t="s">
        <v>33</v>
      </c>
      <c r="F330" s="20"/>
      <c r="G330" s="25" t="s">
        <v>48</v>
      </c>
      <c r="H330" s="20"/>
    </row>
    <row r="331" spans="1:8" hidden="1" x14ac:dyDescent="0.25">
      <c r="A331" s="92"/>
      <c r="B331" s="87"/>
      <c r="C331" s="87"/>
      <c r="D331" s="93"/>
      <c r="E331" s="25" t="s">
        <v>34</v>
      </c>
      <c r="F331" s="20"/>
      <c r="G331" s="25" t="s">
        <v>49</v>
      </c>
      <c r="H331" s="20"/>
    </row>
    <row r="332" spans="1:8" hidden="1" x14ac:dyDescent="0.25">
      <c r="A332" s="92"/>
      <c r="B332" s="87"/>
      <c r="C332" s="87"/>
      <c r="D332" s="93"/>
      <c r="E332" s="25" t="s">
        <v>35</v>
      </c>
      <c r="F332" s="20"/>
      <c r="G332" s="25" t="s">
        <v>50</v>
      </c>
      <c r="H332" s="20"/>
    </row>
    <row r="333" spans="1:8" hidden="1" x14ac:dyDescent="0.25">
      <c r="A333" s="92"/>
      <c r="B333" s="87"/>
      <c r="C333" s="87"/>
      <c r="D333" s="93"/>
      <c r="E333" s="25" t="s">
        <v>36</v>
      </c>
      <c r="F333" s="20"/>
      <c r="G333" s="25" t="s">
        <v>51</v>
      </c>
      <c r="H333" s="20"/>
    </row>
    <row r="334" spans="1:8" hidden="1" x14ac:dyDescent="0.25">
      <c r="A334" s="92"/>
      <c r="B334" s="87"/>
      <c r="C334" s="87"/>
      <c r="D334" s="93"/>
      <c r="E334" s="25" t="s">
        <v>37</v>
      </c>
      <c r="F334" s="20"/>
      <c r="G334" s="25" t="s">
        <v>46</v>
      </c>
      <c r="H334" s="20"/>
    </row>
    <row r="335" spans="1:8" hidden="1" x14ac:dyDescent="0.25">
      <c r="A335" s="92"/>
      <c r="B335" s="28" t="s">
        <v>122</v>
      </c>
      <c r="C335" s="28" t="s">
        <v>123</v>
      </c>
      <c r="D335" s="93"/>
      <c r="E335" s="25" t="s">
        <v>38</v>
      </c>
      <c r="F335" s="20"/>
      <c r="G335" s="25" t="s">
        <v>52</v>
      </c>
      <c r="H335" s="20"/>
    </row>
    <row r="336" spans="1:8" hidden="1" x14ac:dyDescent="0.25">
      <c r="A336" s="92"/>
      <c r="B336" s="65"/>
      <c r="C336" s="65"/>
      <c r="D336" s="93"/>
      <c r="E336" s="25"/>
      <c r="F336" s="20"/>
      <c r="G336" s="25"/>
      <c r="H336" s="20"/>
    </row>
    <row r="337" spans="1:8" hidden="1" x14ac:dyDescent="0.25">
      <c r="A337" s="92">
        <v>23</v>
      </c>
      <c r="B337" s="87" t="s">
        <v>151</v>
      </c>
      <c r="C337" s="87" t="s">
        <v>147</v>
      </c>
      <c r="D337" s="93">
        <v>16</v>
      </c>
      <c r="E337" s="25" t="s">
        <v>32</v>
      </c>
      <c r="F337" s="20"/>
      <c r="G337" s="25" t="s">
        <v>47</v>
      </c>
      <c r="H337" s="20"/>
    </row>
    <row r="338" spans="1:8" hidden="1" x14ac:dyDescent="0.25">
      <c r="A338" s="92"/>
      <c r="B338" s="87"/>
      <c r="C338" s="87"/>
      <c r="D338" s="93"/>
      <c r="E338" s="25" t="s">
        <v>33</v>
      </c>
      <c r="F338" s="20"/>
      <c r="G338" s="25" t="s">
        <v>48</v>
      </c>
      <c r="H338" s="20"/>
    </row>
    <row r="339" spans="1:8" hidden="1" x14ac:dyDescent="0.25">
      <c r="A339" s="92"/>
      <c r="B339" s="87"/>
      <c r="C339" s="87"/>
      <c r="D339" s="93"/>
      <c r="E339" s="25" t="s">
        <v>34</v>
      </c>
      <c r="F339" s="22"/>
      <c r="G339" s="25" t="s">
        <v>49</v>
      </c>
      <c r="H339" s="20"/>
    </row>
    <row r="340" spans="1:8" hidden="1" x14ac:dyDescent="0.25">
      <c r="A340" s="92"/>
      <c r="B340" s="87"/>
      <c r="C340" s="87"/>
      <c r="D340" s="93"/>
      <c r="E340" s="25" t="s">
        <v>35</v>
      </c>
      <c r="F340" s="22"/>
      <c r="G340" s="25" t="s">
        <v>50</v>
      </c>
      <c r="H340" s="20"/>
    </row>
    <row r="341" spans="1:8" hidden="1" x14ac:dyDescent="0.25">
      <c r="A341" s="92"/>
      <c r="B341" s="87"/>
      <c r="C341" s="87"/>
      <c r="D341" s="93"/>
      <c r="E341" s="25" t="s">
        <v>36</v>
      </c>
      <c r="F341" s="22"/>
      <c r="G341" s="25" t="s">
        <v>51</v>
      </c>
      <c r="H341" s="20"/>
    </row>
    <row r="342" spans="1:8" hidden="1" x14ac:dyDescent="0.25">
      <c r="A342" s="92"/>
      <c r="B342" s="87"/>
      <c r="C342" s="87"/>
      <c r="D342" s="93"/>
      <c r="E342" s="25" t="s">
        <v>37</v>
      </c>
      <c r="F342" s="22"/>
      <c r="G342" s="25" t="s">
        <v>46</v>
      </c>
      <c r="H342" s="20"/>
    </row>
    <row r="343" spans="1:8" hidden="1" x14ac:dyDescent="0.25">
      <c r="A343" s="92"/>
      <c r="B343" s="28" t="s">
        <v>122</v>
      </c>
      <c r="C343" s="28" t="s">
        <v>123</v>
      </c>
      <c r="D343" s="93"/>
      <c r="E343" s="25" t="s">
        <v>38</v>
      </c>
      <c r="F343" s="22"/>
      <c r="G343" s="25" t="s">
        <v>52</v>
      </c>
      <c r="H343" s="20"/>
    </row>
    <row r="344" spans="1:8" hidden="1" x14ac:dyDescent="0.25">
      <c r="A344" s="92"/>
      <c r="B344" s="65"/>
      <c r="C344" s="65"/>
      <c r="D344" s="93"/>
      <c r="E344" s="25" t="s">
        <v>39</v>
      </c>
      <c r="F344" s="22"/>
      <c r="G344" s="25" t="s">
        <v>53</v>
      </c>
      <c r="H344" s="20"/>
    </row>
    <row r="345" spans="1:8" hidden="1" x14ac:dyDescent="0.25">
      <c r="A345" s="92"/>
      <c r="B345" s="65"/>
      <c r="C345" s="20"/>
      <c r="D345" s="93"/>
      <c r="E345" s="20"/>
      <c r="F345" s="20"/>
      <c r="G345" s="20"/>
      <c r="H345" s="20"/>
    </row>
  </sheetData>
  <mergeCells count="98">
    <mergeCell ref="A337:A345"/>
    <mergeCell ref="B337:B342"/>
    <mergeCell ref="C337:C342"/>
    <mergeCell ref="D337:D345"/>
    <mergeCell ref="A319:A328"/>
    <mergeCell ref="B319:B326"/>
    <mergeCell ref="C319:C326"/>
    <mergeCell ref="D319:D328"/>
    <mergeCell ref="A329:A336"/>
    <mergeCell ref="B329:B334"/>
    <mergeCell ref="C329:C334"/>
    <mergeCell ref="D329:D336"/>
    <mergeCell ref="A303:A310"/>
    <mergeCell ref="B303:B308"/>
    <mergeCell ref="C303:C308"/>
    <mergeCell ref="D303:D310"/>
    <mergeCell ref="A311:A318"/>
    <mergeCell ref="B311:B316"/>
    <mergeCell ref="C311:C316"/>
    <mergeCell ref="D311:D318"/>
    <mergeCell ref="A280:A290"/>
    <mergeCell ref="B280:B288"/>
    <mergeCell ref="C280:C288"/>
    <mergeCell ref="D280:D290"/>
    <mergeCell ref="A291:A302"/>
    <mergeCell ref="B291:B298"/>
    <mergeCell ref="C291:C298"/>
    <mergeCell ref="D291:D302"/>
    <mergeCell ref="A255:A268"/>
    <mergeCell ref="B255:B266"/>
    <mergeCell ref="C255:C266"/>
    <mergeCell ref="D255:D268"/>
    <mergeCell ref="A269:A279"/>
    <mergeCell ref="B269:B276"/>
    <mergeCell ref="C269:C276"/>
    <mergeCell ref="D269:D279"/>
    <mergeCell ref="A234:A246"/>
    <mergeCell ref="B234:B243"/>
    <mergeCell ref="C234:C243"/>
    <mergeCell ref="D234:D246"/>
    <mergeCell ref="A247:A254"/>
    <mergeCell ref="B247:B252"/>
    <mergeCell ref="C247:C252"/>
    <mergeCell ref="D247:D254"/>
    <mergeCell ref="A205:A215"/>
    <mergeCell ref="B205:B213"/>
    <mergeCell ref="C205:C213"/>
    <mergeCell ref="D205:D215"/>
    <mergeCell ref="A216:A233"/>
    <mergeCell ref="B216:B230"/>
    <mergeCell ref="C216:C230"/>
    <mergeCell ref="D216:D233"/>
    <mergeCell ref="A174:A189"/>
    <mergeCell ref="B174:B187"/>
    <mergeCell ref="C174:C187"/>
    <mergeCell ref="D174:D189"/>
    <mergeCell ref="A190:A204"/>
    <mergeCell ref="B190:B202"/>
    <mergeCell ref="C190:C202"/>
    <mergeCell ref="D190:D204"/>
    <mergeCell ref="A151:A160"/>
    <mergeCell ref="B151:B158"/>
    <mergeCell ref="C151:C158"/>
    <mergeCell ref="D151:D160"/>
    <mergeCell ref="A161:A173"/>
    <mergeCell ref="B161:B171"/>
    <mergeCell ref="C161:C171"/>
    <mergeCell ref="D161:D173"/>
    <mergeCell ref="A98:A117"/>
    <mergeCell ref="B98:B114"/>
    <mergeCell ref="C98:C114"/>
    <mergeCell ref="D98:D117"/>
    <mergeCell ref="A118:A150"/>
    <mergeCell ref="D118:D150"/>
    <mergeCell ref="A45:A62"/>
    <mergeCell ref="B45:B60"/>
    <mergeCell ref="C45:C60"/>
    <mergeCell ref="D45:D62"/>
    <mergeCell ref="A63:A97"/>
    <mergeCell ref="B63:B95"/>
    <mergeCell ref="C63:C95"/>
    <mergeCell ref="D63:D97"/>
    <mergeCell ref="A4:C4"/>
    <mergeCell ref="B118:B148"/>
    <mergeCell ref="C118:C148"/>
    <mergeCell ref="A1:H1"/>
    <mergeCell ref="A2:H2"/>
    <mergeCell ref="A3:C3"/>
    <mergeCell ref="E3:F3"/>
    <mergeCell ref="G3:H3"/>
    <mergeCell ref="A5:A19"/>
    <mergeCell ref="B5:B17"/>
    <mergeCell ref="C5:C17"/>
    <mergeCell ref="D5:D19"/>
    <mergeCell ref="A20:A44"/>
    <mergeCell ref="B20:B42"/>
    <mergeCell ref="C20:C42"/>
    <mergeCell ref="D20:D44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CBC5-A7D3-4434-91BC-4E903E8BEC04}">
  <dimension ref="A1:G55"/>
  <sheetViews>
    <sheetView zoomScaleNormal="100" workbookViewId="0">
      <selection activeCell="C7" sqref="C7"/>
    </sheetView>
  </sheetViews>
  <sheetFormatPr defaultColWidth="8.85546875" defaultRowHeight="15" x14ac:dyDescent="0.25"/>
  <cols>
    <col min="1" max="1" width="6.42578125" bestFit="1" customWidth="1"/>
    <col min="2" max="2" width="16.7109375" customWidth="1"/>
    <col min="3" max="3" width="22.7109375" customWidth="1"/>
    <col min="4" max="4" width="12.85546875" bestFit="1" customWidth="1"/>
    <col min="5" max="5" width="9.85546875" bestFit="1" customWidth="1"/>
    <col min="6" max="6" width="9.28515625" customWidth="1"/>
    <col min="7" max="7" width="20.42578125" customWidth="1"/>
  </cols>
  <sheetData>
    <row r="1" spans="1:7" ht="20.25" x14ac:dyDescent="0.3">
      <c r="A1" s="94" t="s">
        <v>24</v>
      </c>
      <c r="B1" s="94"/>
      <c r="C1" s="94"/>
      <c r="D1" s="94"/>
      <c r="E1" s="94"/>
      <c r="F1" s="94"/>
      <c r="G1" s="94"/>
    </row>
    <row r="2" spans="1:7" ht="20.25" x14ac:dyDescent="0.3">
      <c r="A2" s="94" t="s">
        <v>25</v>
      </c>
      <c r="B2" s="94"/>
      <c r="C2" s="94"/>
      <c r="D2" s="94"/>
      <c r="E2" s="94"/>
      <c r="F2" s="94"/>
      <c r="G2" s="94"/>
    </row>
    <row r="3" spans="1:7" x14ac:dyDescent="0.25">
      <c r="A3" s="82" t="s">
        <v>20</v>
      </c>
      <c r="B3" s="82"/>
      <c r="C3" s="82"/>
      <c r="D3" s="82"/>
      <c r="E3" s="82"/>
      <c r="F3" s="82"/>
      <c r="G3" s="82"/>
    </row>
    <row r="4" spans="1:7" x14ac:dyDescent="0.25">
      <c r="A4" s="82" t="s">
        <v>21</v>
      </c>
      <c r="B4" s="82"/>
      <c r="C4" s="82"/>
      <c r="D4" s="82"/>
      <c r="E4" s="82"/>
      <c r="F4" s="82"/>
      <c r="G4" s="82"/>
    </row>
    <row r="5" spans="1:7" x14ac:dyDescent="0.25">
      <c r="A5" s="83" t="s">
        <v>29</v>
      </c>
      <c r="B5" s="83"/>
      <c r="C5" s="83"/>
      <c r="D5" s="83"/>
      <c r="E5" s="83"/>
      <c r="F5" s="83"/>
      <c r="G5" s="83"/>
    </row>
    <row r="6" spans="1:7" x14ac:dyDescent="0.25">
      <c r="A6" s="82" t="s">
        <v>0</v>
      </c>
      <c r="B6" s="82"/>
      <c r="C6" s="82"/>
      <c r="D6" s="82"/>
      <c r="E6" s="82"/>
      <c r="F6" s="82"/>
      <c r="G6" s="82"/>
    </row>
    <row r="7" spans="1:7" x14ac:dyDescent="0.25">
      <c r="A7" s="2" t="s">
        <v>156</v>
      </c>
      <c r="B7" s="18"/>
      <c r="C7" s="18" t="e">
        <f>VLOOKUP(D10,Sheet3!G:H,2,0)</f>
        <v>#N/A</v>
      </c>
      <c r="D7" s="18"/>
      <c r="E7" s="18"/>
      <c r="F7" s="18"/>
      <c r="G7" s="10" t="str">
        <f>'Seating Plan'!D3</f>
        <v>08.04.2026</v>
      </c>
    </row>
    <row r="8" spans="1:7" x14ac:dyDescent="0.25">
      <c r="A8" s="1"/>
      <c r="B8" s="1"/>
      <c r="C8" s="1"/>
      <c r="D8" s="1"/>
      <c r="E8" s="1"/>
      <c r="F8" s="1"/>
      <c r="G8" s="10" t="str">
        <f>'Seating Plan'!G4</f>
        <v>Shift:I (10:00 to 11:00 AM)</v>
      </c>
    </row>
    <row r="9" spans="1:7" ht="22.5" customHeight="1" x14ac:dyDescent="0.25">
      <c r="A9" s="33" t="s">
        <v>1</v>
      </c>
      <c r="B9" s="33" t="s">
        <v>3</v>
      </c>
      <c r="C9" s="34" t="s">
        <v>2</v>
      </c>
      <c r="D9" s="33" t="s">
        <v>19</v>
      </c>
      <c r="E9" s="33" t="s">
        <v>4</v>
      </c>
      <c r="F9" s="33" t="s">
        <v>18</v>
      </c>
      <c r="G9" s="33" t="s">
        <v>5</v>
      </c>
    </row>
    <row r="10" spans="1:7" ht="23.1" customHeight="1" x14ac:dyDescent="0.25">
      <c r="A10" s="3"/>
      <c r="B10" s="20">
        <f>'Seating Plan'!F5</f>
        <v>0</v>
      </c>
      <c r="C10" s="20" t="e">
        <f>VLOOKUP(B10,Sheet3!B:E,2,0)</f>
        <v>#N/A</v>
      </c>
      <c r="D10" s="20" t="e">
        <f>VLOOKUP(B10,Sheet3!B:E,3,0)</f>
        <v>#N/A</v>
      </c>
      <c r="E10" s="20" t="e">
        <f>VLOOKUP(B10,Sheet3!B:E,4,0)</f>
        <v>#N/A</v>
      </c>
      <c r="F10" s="13" t="s">
        <v>32</v>
      </c>
      <c r="G10" s="4"/>
    </row>
    <row r="11" spans="1:7" ht="23.1" customHeight="1" x14ac:dyDescent="0.25">
      <c r="A11" s="3"/>
      <c r="B11" s="20">
        <f>'Seating Plan'!F6</f>
        <v>0</v>
      </c>
      <c r="C11" s="20" t="e">
        <f>VLOOKUP(B11,Sheet3!B:E,2,0)</f>
        <v>#N/A</v>
      </c>
      <c r="D11" s="20" t="e">
        <f>VLOOKUP(B11,Sheet3!B:E,3,0)</f>
        <v>#N/A</v>
      </c>
      <c r="E11" s="20" t="e">
        <f>VLOOKUP(B11,Sheet3!B:E,4,0)</f>
        <v>#N/A</v>
      </c>
      <c r="F11" s="13" t="s">
        <v>33</v>
      </c>
      <c r="G11" s="4"/>
    </row>
    <row r="12" spans="1:7" ht="23.1" customHeight="1" x14ac:dyDescent="0.25">
      <c r="A12" s="3"/>
      <c r="B12" s="20">
        <f>'Seating Plan'!F7</f>
        <v>0</v>
      </c>
      <c r="C12" s="20" t="e">
        <f>VLOOKUP(B12,Sheet3!B:E,2,0)</f>
        <v>#N/A</v>
      </c>
      <c r="D12" s="20" t="e">
        <f>VLOOKUP(B12,Sheet3!B:E,3,0)</f>
        <v>#N/A</v>
      </c>
      <c r="E12" s="20" t="e">
        <f>VLOOKUP(B12,Sheet3!B:E,4,0)</f>
        <v>#N/A</v>
      </c>
      <c r="F12" s="13" t="s">
        <v>34</v>
      </c>
      <c r="G12" s="4"/>
    </row>
    <row r="13" spans="1:7" ht="23.1" customHeight="1" x14ac:dyDescent="0.25">
      <c r="A13" s="3"/>
      <c r="B13" s="20">
        <f>'Seating Plan'!F8</f>
        <v>0</v>
      </c>
      <c r="C13" s="20" t="e">
        <f>VLOOKUP(B13,Sheet3!B:E,2,0)</f>
        <v>#N/A</v>
      </c>
      <c r="D13" s="20" t="e">
        <f>VLOOKUP(B13,Sheet3!B:E,3,0)</f>
        <v>#N/A</v>
      </c>
      <c r="E13" s="20" t="e">
        <f>VLOOKUP(B13,Sheet3!B:E,4,0)</f>
        <v>#N/A</v>
      </c>
      <c r="F13" s="13" t="s">
        <v>35</v>
      </c>
      <c r="G13" s="4"/>
    </row>
    <row r="14" spans="1:7" ht="23.1" customHeight="1" x14ac:dyDescent="0.25">
      <c r="A14" s="3"/>
      <c r="B14" s="20">
        <f>'Seating Plan'!F9</f>
        <v>0</v>
      </c>
      <c r="C14" s="20" t="e">
        <f>VLOOKUP(B14,Sheet3!B:E,2,0)</f>
        <v>#N/A</v>
      </c>
      <c r="D14" s="20" t="e">
        <f>VLOOKUP(B14,Sheet3!B:E,3,0)</f>
        <v>#N/A</v>
      </c>
      <c r="E14" s="20" t="e">
        <f>VLOOKUP(B14,Sheet3!B:E,4,0)</f>
        <v>#N/A</v>
      </c>
      <c r="F14" s="13" t="s">
        <v>36</v>
      </c>
      <c r="G14" s="4"/>
    </row>
    <row r="15" spans="1:7" ht="23.1" customHeight="1" x14ac:dyDescent="0.25">
      <c r="A15" s="3"/>
      <c r="B15" s="20">
        <f>'Seating Plan'!F10</f>
        <v>0</v>
      </c>
      <c r="C15" s="20" t="e">
        <f>VLOOKUP(B15,Sheet3!B:E,2,0)</f>
        <v>#N/A</v>
      </c>
      <c r="D15" s="20" t="e">
        <f>VLOOKUP(B15,Sheet3!B:E,3,0)</f>
        <v>#N/A</v>
      </c>
      <c r="E15" s="20" t="e">
        <f>VLOOKUP(B15,Sheet3!B:E,4,0)</f>
        <v>#N/A</v>
      </c>
      <c r="F15" s="13" t="s">
        <v>37</v>
      </c>
      <c r="G15" s="4"/>
    </row>
    <row r="16" spans="1:7" ht="23.1" customHeight="1" x14ac:dyDescent="0.25">
      <c r="A16" s="3"/>
      <c r="B16" s="20">
        <f>'Seating Plan'!F11</f>
        <v>0</v>
      </c>
      <c r="C16" s="20" t="e">
        <f>VLOOKUP(B16,Sheet3!B:E,2,0)</f>
        <v>#N/A</v>
      </c>
      <c r="D16" s="20" t="e">
        <f>VLOOKUP(B16,Sheet3!B:E,3,0)</f>
        <v>#N/A</v>
      </c>
      <c r="E16" s="20" t="e">
        <f>VLOOKUP(B16,Sheet3!B:E,4,0)</f>
        <v>#N/A</v>
      </c>
      <c r="F16" s="13" t="s">
        <v>38</v>
      </c>
      <c r="G16" s="4"/>
    </row>
    <row r="17" spans="1:7" ht="23.1" customHeight="1" x14ac:dyDescent="0.25">
      <c r="A17" s="3"/>
      <c r="B17" s="20">
        <f>'Seating Plan'!F12</f>
        <v>0</v>
      </c>
      <c r="C17" s="20" t="e">
        <f>VLOOKUP(B17,Sheet3!B:E,2,0)</f>
        <v>#N/A</v>
      </c>
      <c r="D17" s="20" t="e">
        <f>VLOOKUP(B17,Sheet3!B:E,3,0)</f>
        <v>#N/A</v>
      </c>
      <c r="E17" s="20" t="e">
        <f>VLOOKUP(B17,Sheet3!B:E,4,0)</f>
        <v>#N/A</v>
      </c>
      <c r="F17" s="13" t="s">
        <v>39</v>
      </c>
      <c r="G17" s="4"/>
    </row>
    <row r="18" spans="1:7" ht="23.1" customHeight="1" x14ac:dyDescent="0.25">
      <c r="A18" s="3"/>
      <c r="B18" s="20">
        <f>'Seating Plan'!F13</f>
        <v>0</v>
      </c>
      <c r="C18" s="20" t="e">
        <f>VLOOKUP(B18,Sheet3!B:E,2,0)</f>
        <v>#N/A</v>
      </c>
      <c r="D18" s="20" t="e">
        <f>VLOOKUP(B18,Sheet3!B:E,3,0)</f>
        <v>#N/A</v>
      </c>
      <c r="E18" s="20" t="e">
        <f>VLOOKUP(B18,Sheet3!B:E,4,0)</f>
        <v>#N/A</v>
      </c>
      <c r="F18" s="13" t="s">
        <v>40</v>
      </c>
      <c r="G18" s="4"/>
    </row>
    <row r="19" spans="1:7" ht="23.1" customHeight="1" x14ac:dyDescent="0.25">
      <c r="A19" s="3"/>
      <c r="B19" s="20">
        <f>'Seating Plan'!F14</f>
        <v>0</v>
      </c>
      <c r="C19" s="20" t="e">
        <f>VLOOKUP(B19,Sheet3!B:E,2,0)</f>
        <v>#N/A</v>
      </c>
      <c r="D19" s="20" t="e">
        <f>VLOOKUP(B19,Sheet3!B:E,3,0)</f>
        <v>#N/A</v>
      </c>
      <c r="E19" s="20" t="e">
        <f>VLOOKUP(B19,Sheet3!B:E,4,0)</f>
        <v>#N/A</v>
      </c>
      <c r="F19" s="13" t="s">
        <v>41</v>
      </c>
      <c r="G19" s="4"/>
    </row>
    <row r="20" spans="1:7" ht="23.1" customHeight="1" x14ac:dyDescent="0.25">
      <c r="A20" s="3"/>
      <c r="B20" s="20">
        <f>'Seating Plan'!F15</f>
        <v>0</v>
      </c>
      <c r="C20" s="20" t="e">
        <f>VLOOKUP(B20,Sheet3!B:E,2,0)</f>
        <v>#N/A</v>
      </c>
      <c r="D20" s="20" t="e">
        <f>VLOOKUP(B20,Sheet3!B:E,3,0)</f>
        <v>#N/A</v>
      </c>
      <c r="E20" s="20" t="e">
        <f>VLOOKUP(B20,Sheet3!B:E,4,0)</f>
        <v>#N/A</v>
      </c>
      <c r="F20" s="13" t="s">
        <v>42</v>
      </c>
      <c r="G20" s="4"/>
    </row>
    <row r="21" spans="1:7" ht="23.1" customHeight="1" x14ac:dyDescent="0.25">
      <c r="A21" s="3"/>
      <c r="B21" s="20">
        <f>'Seating Plan'!F16</f>
        <v>0</v>
      </c>
      <c r="C21" s="20" t="e">
        <f>VLOOKUP(B21,Sheet3!B:E,2,0)</f>
        <v>#N/A</v>
      </c>
      <c r="D21" s="20" t="e">
        <f>VLOOKUP(B21,Sheet3!B:E,3,0)</f>
        <v>#N/A</v>
      </c>
      <c r="E21" s="20" t="e">
        <f>VLOOKUP(B21,Sheet3!B:E,4,0)</f>
        <v>#N/A</v>
      </c>
      <c r="F21" s="13" t="s">
        <v>43</v>
      </c>
      <c r="G21" s="4"/>
    </row>
    <row r="22" spans="1:7" ht="23.1" customHeight="1" x14ac:dyDescent="0.25">
      <c r="A22" s="3"/>
      <c r="B22" s="20">
        <f>'Seating Plan'!F17</f>
        <v>0</v>
      </c>
      <c r="C22" s="20" t="e">
        <f>VLOOKUP(B22,Sheet3!B:E,2,0)</f>
        <v>#N/A</v>
      </c>
      <c r="D22" s="20" t="e">
        <f>VLOOKUP(B22,Sheet3!B:E,3,0)</f>
        <v>#N/A</v>
      </c>
      <c r="E22" s="20" t="e">
        <f>VLOOKUP(B22,Sheet3!B:E,4,0)</f>
        <v>#N/A</v>
      </c>
      <c r="F22" s="13" t="s">
        <v>44</v>
      </c>
      <c r="G22" s="4"/>
    </row>
    <row r="23" spans="1:7" ht="23.1" customHeight="1" x14ac:dyDescent="0.25">
      <c r="A23" s="3"/>
      <c r="B23" s="20">
        <f>'Seating Plan'!F18</f>
        <v>0</v>
      </c>
      <c r="C23" s="20" t="e">
        <f>VLOOKUP(B23,Sheet3!B:E,2,0)</f>
        <v>#N/A</v>
      </c>
      <c r="D23" s="20" t="e">
        <f>VLOOKUP(B23,Sheet3!B:E,3,0)</f>
        <v>#N/A</v>
      </c>
      <c r="E23" s="20" t="e">
        <f>VLOOKUP(B23,Sheet3!B:E,4,0)</f>
        <v>#N/A</v>
      </c>
      <c r="F23" s="13" t="s">
        <v>45</v>
      </c>
      <c r="G23" s="4"/>
    </row>
    <row r="24" spans="1:7" ht="23.1" customHeight="1" x14ac:dyDescent="0.25">
      <c r="A24" s="3"/>
      <c r="B24" s="20">
        <f>'Seating Plan'!F19</f>
        <v>0</v>
      </c>
      <c r="C24" s="20" t="e">
        <f>VLOOKUP(B24,Sheet3!B:E,2,0)</f>
        <v>#N/A</v>
      </c>
      <c r="D24" s="20" t="e">
        <f>VLOOKUP(B24,Sheet3!B:E,3,0)</f>
        <v>#N/A</v>
      </c>
      <c r="E24" s="20" t="e">
        <f>VLOOKUP(B24,Sheet3!B:E,4,0)</f>
        <v>#N/A</v>
      </c>
      <c r="F24" s="13" t="s">
        <v>62</v>
      </c>
      <c r="G24" s="4"/>
    </row>
    <row r="25" spans="1:7" ht="23.1" hidden="1" customHeight="1" x14ac:dyDescent="0.25">
      <c r="A25" s="3">
        <v>16</v>
      </c>
      <c r="B25" s="12"/>
      <c r="C25" s="12"/>
      <c r="D25" s="13"/>
      <c r="E25" s="13"/>
      <c r="F25" s="13"/>
      <c r="G25" s="4"/>
    </row>
    <row r="26" spans="1:7" ht="23.1" hidden="1" customHeight="1" x14ac:dyDescent="0.25">
      <c r="A26" s="3">
        <v>17</v>
      </c>
      <c r="B26" s="12"/>
      <c r="C26" s="12"/>
      <c r="D26" s="13"/>
      <c r="E26" s="13"/>
      <c r="F26" s="13"/>
      <c r="G26" s="4"/>
    </row>
    <row r="30" spans="1:7" ht="20.25" x14ac:dyDescent="0.3">
      <c r="A30" s="94" t="s">
        <v>24</v>
      </c>
      <c r="B30" s="94"/>
      <c r="C30" s="94"/>
      <c r="D30" s="94"/>
      <c r="E30" s="94"/>
      <c r="F30" s="94"/>
      <c r="G30" s="94"/>
    </row>
    <row r="31" spans="1:7" ht="20.25" x14ac:dyDescent="0.3">
      <c r="A31" s="94" t="s">
        <v>25</v>
      </c>
      <c r="B31" s="94"/>
      <c r="C31" s="94"/>
      <c r="D31" s="94"/>
      <c r="E31" s="94"/>
      <c r="F31" s="94"/>
      <c r="G31" s="94"/>
    </row>
    <row r="32" spans="1:7" x14ac:dyDescent="0.25">
      <c r="A32" s="82" t="s">
        <v>20</v>
      </c>
      <c r="B32" s="82"/>
      <c r="C32" s="82"/>
      <c r="D32" s="82"/>
      <c r="E32" s="82"/>
      <c r="F32" s="82"/>
      <c r="G32" s="82"/>
    </row>
    <row r="33" spans="1:7" x14ac:dyDescent="0.25">
      <c r="A33" s="82" t="s">
        <v>21</v>
      </c>
      <c r="B33" s="82"/>
      <c r="C33" s="82"/>
      <c r="D33" s="82"/>
      <c r="E33" s="82"/>
      <c r="F33" s="82"/>
      <c r="G33" s="82"/>
    </row>
    <row r="34" spans="1:7" x14ac:dyDescent="0.25">
      <c r="A34" s="83" t="s">
        <v>29</v>
      </c>
      <c r="B34" s="83"/>
      <c r="C34" s="83"/>
      <c r="D34" s="83"/>
      <c r="E34" s="83"/>
      <c r="F34" s="83"/>
      <c r="G34" s="83"/>
    </row>
    <row r="35" spans="1:7" x14ac:dyDescent="0.25">
      <c r="A35" s="82" t="s">
        <v>0</v>
      </c>
      <c r="B35" s="82"/>
      <c r="C35" s="82"/>
      <c r="D35" s="82"/>
      <c r="E35" s="82"/>
      <c r="F35" s="82"/>
      <c r="G35" s="82"/>
    </row>
    <row r="36" spans="1:7" x14ac:dyDescent="0.25">
      <c r="A36" s="2" t="s">
        <v>157</v>
      </c>
      <c r="B36" s="18"/>
      <c r="C36" s="18" t="e">
        <f>VLOOKUP(D39,Sheet3!G:H,2,0)</f>
        <v>#N/A</v>
      </c>
      <c r="D36" s="18"/>
      <c r="E36" s="18"/>
      <c r="F36" s="18"/>
      <c r="G36" s="10" t="str">
        <f>'Seating Plan'!D3</f>
        <v>08.04.2026</v>
      </c>
    </row>
    <row r="37" spans="1:7" x14ac:dyDescent="0.25">
      <c r="A37" s="1"/>
      <c r="B37" s="1"/>
      <c r="C37" s="1"/>
      <c r="D37" s="1"/>
      <c r="E37" s="1"/>
      <c r="F37" s="1"/>
      <c r="G37" s="10" t="str">
        <f>'Seating Plan'!G4</f>
        <v>Shift:I (10:00 to 11:00 AM)</v>
      </c>
    </row>
    <row r="38" spans="1:7" s="35" customFormat="1" ht="18.75" customHeight="1" x14ac:dyDescent="0.25">
      <c r="A38" s="33" t="s">
        <v>1</v>
      </c>
      <c r="B38" s="33" t="s">
        <v>3</v>
      </c>
      <c r="C38" s="34" t="s">
        <v>2</v>
      </c>
      <c r="D38" s="33" t="s">
        <v>19</v>
      </c>
      <c r="E38" s="33" t="s">
        <v>4</v>
      </c>
      <c r="F38" s="33" t="s">
        <v>18</v>
      </c>
      <c r="G38" s="33" t="s">
        <v>5</v>
      </c>
    </row>
    <row r="39" spans="1:7" ht="23.1" customHeight="1" x14ac:dyDescent="0.25">
      <c r="A39" s="3"/>
      <c r="B39" s="20" t="str">
        <f>'Seating Plan'!H5</f>
        <v xml:space="preserve">BTME24O1043 </v>
      </c>
      <c r="C39" s="20" t="e">
        <f>VLOOKUP(B39,Sheet3!B:E,2,0)</f>
        <v>#N/A</v>
      </c>
      <c r="D39" s="20" t="e">
        <f>VLOOKUP(B39,Sheet3!B:E,3,0)</f>
        <v>#N/A</v>
      </c>
      <c r="E39" s="20" t="e">
        <f>VLOOKUP(B39,Sheet3!B:E,4,0)</f>
        <v>#N/A</v>
      </c>
      <c r="F39" s="13" t="s">
        <v>47</v>
      </c>
      <c r="G39" s="4"/>
    </row>
    <row r="40" spans="1:7" ht="23.1" customHeight="1" x14ac:dyDescent="0.25">
      <c r="A40" s="3"/>
      <c r="B40" s="20">
        <f>'Seating Plan'!H6</f>
        <v>0</v>
      </c>
      <c r="C40" s="20" t="e">
        <f>VLOOKUP(B40,Sheet3!B:E,2,0)</f>
        <v>#N/A</v>
      </c>
      <c r="D40" s="20" t="e">
        <f>VLOOKUP(B40,Sheet3!B:E,3,0)</f>
        <v>#N/A</v>
      </c>
      <c r="E40" s="20" t="e">
        <f>VLOOKUP(B40,Sheet3!B:E,4,0)</f>
        <v>#N/A</v>
      </c>
      <c r="F40" s="13" t="s">
        <v>48</v>
      </c>
      <c r="G40" s="4"/>
    </row>
    <row r="41" spans="1:7" ht="23.1" customHeight="1" x14ac:dyDescent="0.25">
      <c r="A41" s="3"/>
      <c r="B41" s="20">
        <f>'Seating Plan'!H7</f>
        <v>0</v>
      </c>
      <c r="C41" s="20" t="e">
        <f>VLOOKUP(B41,Sheet3!B:E,2,0)</f>
        <v>#N/A</v>
      </c>
      <c r="D41" s="20" t="e">
        <f>VLOOKUP(B41,Sheet3!B:E,3,0)</f>
        <v>#N/A</v>
      </c>
      <c r="E41" s="20" t="e">
        <f>VLOOKUP(B41,Sheet3!B:E,4,0)</f>
        <v>#N/A</v>
      </c>
      <c r="F41" s="13" t="s">
        <v>49</v>
      </c>
      <c r="G41" s="4"/>
    </row>
    <row r="42" spans="1:7" ht="23.1" customHeight="1" x14ac:dyDescent="0.25">
      <c r="A42" s="3"/>
      <c r="B42" s="20">
        <f>'Seating Plan'!H8</f>
        <v>0</v>
      </c>
      <c r="C42" s="20" t="e">
        <f>VLOOKUP(B42,Sheet3!B:E,2,0)</f>
        <v>#N/A</v>
      </c>
      <c r="D42" s="20" t="e">
        <f>VLOOKUP(B42,Sheet3!B:E,3,0)</f>
        <v>#N/A</v>
      </c>
      <c r="E42" s="20" t="e">
        <f>VLOOKUP(B42,Sheet3!B:E,4,0)</f>
        <v>#N/A</v>
      </c>
      <c r="F42" s="13" t="s">
        <v>50</v>
      </c>
      <c r="G42" s="4"/>
    </row>
    <row r="43" spans="1:7" ht="23.1" customHeight="1" x14ac:dyDescent="0.25">
      <c r="A43" s="3"/>
      <c r="B43" s="20">
        <f>'Seating Plan'!H9</f>
        <v>0</v>
      </c>
      <c r="C43" s="20" t="e">
        <f>VLOOKUP(B43,Sheet3!B:E,2,0)</f>
        <v>#N/A</v>
      </c>
      <c r="D43" s="20" t="e">
        <f>VLOOKUP(B43,Sheet3!B:E,3,0)</f>
        <v>#N/A</v>
      </c>
      <c r="E43" s="20" t="e">
        <f>VLOOKUP(B43,Sheet3!B:E,4,0)</f>
        <v>#N/A</v>
      </c>
      <c r="F43" s="13" t="s">
        <v>51</v>
      </c>
      <c r="G43" s="4"/>
    </row>
    <row r="44" spans="1:7" ht="23.1" customHeight="1" x14ac:dyDescent="0.25">
      <c r="A44" s="3"/>
      <c r="B44" s="20">
        <f>'Seating Plan'!H10</f>
        <v>0</v>
      </c>
      <c r="C44" s="20" t="e">
        <f>VLOOKUP(B44,Sheet3!B:E,2,0)</f>
        <v>#N/A</v>
      </c>
      <c r="D44" s="20" t="e">
        <f>VLOOKUP(B44,Sheet3!B:E,3,0)</f>
        <v>#N/A</v>
      </c>
      <c r="E44" s="20" t="e">
        <f>VLOOKUP(B44,Sheet3!B:E,4,0)</f>
        <v>#N/A</v>
      </c>
      <c r="F44" s="13" t="s">
        <v>46</v>
      </c>
      <c r="G44" s="4"/>
    </row>
    <row r="45" spans="1:7" ht="23.1" customHeight="1" x14ac:dyDescent="0.25">
      <c r="A45" s="3"/>
      <c r="B45" s="20">
        <f>'Seating Plan'!H11</f>
        <v>0</v>
      </c>
      <c r="C45" s="20" t="e">
        <f>VLOOKUP(B45,Sheet3!B:E,2,0)</f>
        <v>#N/A</v>
      </c>
      <c r="D45" s="20" t="e">
        <f>VLOOKUP(B45,Sheet3!B:E,3,0)</f>
        <v>#N/A</v>
      </c>
      <c r="E45" s="20" t="e">
        <f>VLOOKUP(B45,Sheet3!B:E,4,0)</f>
        <v>#N/A</v>
      </c>
      <c r="F45" s="13" t="s">
        <v>52</v>
      </c>
      <c r="G45" s="4"/>
    </row>
    <row r="46" spans="1:7" ht="23.1" customHeight="1" x14ac:dyDescent="0.25">
      <c r="A46" s="3"/>
      <c r="B46" s="20">
        <f>'Seating Plan'!H12</f>
        <v>0</v>
      </c>
      <c r="C46" s="20" t="e">
        <f>VLOOKUP(B46,Sheet3!B:E,2,0)</f>
        <v>#N/A</v>
      </c>
      <c r="D46" s="20" t="e">
        <f>VLOOKUP(B46,Sheet3!B:E,3,0)</f>
        <v>#N/A</v>
      </c>
      <c r="E46" s="20" t="e">
        <f>VLOOKUP(B46,Sheet3!B:E,4,0)</f>
        <v>#N/A</v>
      </c>
      <c r="F46" s="13" t="s">
        <v>53</v>
      </c>
      <c r="G46" s="4"/>
    </row>
    <row r="47" spans="1:7" ht="23.1" customHeight="1" x14ac:dyDescent="0.25">
      <c r="A47" s="3"/>
      <c r="B47" s="20">
        <f>'Seating Plan'!H13</f>
        <v>0</v>
      </c>
      <c r="C47" s="20" t="e">
        <f>VLOOKUP(B47,Sheet3!B:E,2,0)</f>
        <v>#N/A</v>
      </c>
      <c r="D47" s="20" t="e">
        <f>VLOOKUP(B47,Sheet3!B:E,3,0)</f>
        <v>#N/A</v>
      </c>
      <c r="E47" s="20" t="e">
        <f>VLOOKUP(B47,Sheet3!B:E,4,0)</f>
        <v>#N/A</v>
      </c>
      <c r="F47" s="13" t="s">
        <v>54</v>
      </c>
      <c r="G47" s="4"/>
    </row>
    <row r="48" spans="1:7" ht="23.1" customHeight="1" x14ac:dyDescent="0.25">
      <c r="A48" s="3"/>
      <c r="B48" s="20">
        <f>'Seating Plan'!H14</f>
        <v>0</v>
      </c>
      <c r="C48" s="20" t="e">
        <f>VLOOKUP(B48,Sheet3!B:E,2,0)</f>
        <v>#N/A</v>
      </c>
      <c r="D48" s="20" t="e">
        <f>VLOOKUP(B48,Sheet3!B:E,3,0)</f>
        <v>#N/A</v>
      </c>
      <c r="E48" s="20" t="e">
        <f>VLOOKUP(B48,Sheet3!B:E,4,0)</f>
        <v>#N/A</v>
      </c>
      <c r="F48" s="13" t="s">
        <v>55</v>
      </c>
      <c r="G48" s="4"/>
    </row>
    <row r="49" spans="1:7" ht="23.1" customHeight="1" x14ac:dyDescent="0.25">
      <c r="A49" s="3"/>
      <c r="B49" s="20">
        <f>'Seating Plan'!H15</f>
        <v>0</v>
      </c>
      <c r="C49" s="20" t="e">
        <f>VLOOKUP(B49,Sheet3!B:E,2,0)</f>
        <v>#N/A</v>
      </c>
      <c r="D49" s="20" t="e">
        <f>VLOOKUP(B49,Sheet3!B:E,3,0)</f>
        <v>#N/A</v>
      </c>
      <c r="E49" s="20" t="e">
        <f>VLOOKUP(B49,Sheet3!B:E,4,0)</f>
        <v>#N/A</v>
      </c>
      <c r="F49" s="13" t="s">
        <v>56</v>
      </c>
      <c r="G49" s="4"/>
    </row>
    <row r="50" spans="1:7" ht="23.1" customHeight="1" x14ac:dyDescent="0.25">
      <c r="A50" s="3"/>
      <c r="B50" s="20">
        <f>'Seating Plan'!H16</f>
        <v>0</v>
      </c>
      <c r="C50" s="20" t="e">
        <f>VLOOKUP(B50,Sheet3!B:E,2,0)</f>
        <v>#N/A</v>
      </c>
      <c r="D50" s="20" t="e">
        <f>VLOOKUP(B50,Sheet3!B:E,3,0)</f>
        <v>#N/A</v>
      </c>
      <c r="E50" s="20" t="e">
        <f>VLOOKUP(B50,Sheet3!B:E,4,0)</f>
        <v>#N/A</v>
      </c>
      <c r="F50" s="13" t="s">
        <v>57</v>
      </c>
      <c r="G50" s="4"/>
    </row>
    <row r="51" spans="1:7" ht="23.1" customHeight="1" x14ac:dyDescent="0.25">
      <c r="A51" s="3"/>
      <c r="B51" s="20">
        <f>'Seating Plan'!H17</f>
        <v>0</v>
      </c>
      <c r="C51" s="20" t="e">
        <f>VLOOKUP(B51,Sheet3!B:E,2,0)</f>
        <v>#N/A</v>
      </c>
      <c r="D51" s="20" t="e">
        <f>VLOOKUP(B51,Sheet3!B:E,3,0)</f>
        <v>#N/A</v>
      </c>
      <c r="E51" s="20" t="e">
        <f>VLOOKUP(B51,Sheet3!B:E,4,0)</f>
        <v>#N/A</v>
      </c>
      <c r="F51" s="13" t="s">
        <v>58</v>
      </c>
      <c r="G51" s="4"/>
    </row>
    <row r="52" spans="1:7" ht="23.1" customHeight="1" x14ac:dyDescent="0.25">
      <c r="A52" s="3"/>
      <c r="B52" s="20">
        <f>'Seating Plan'!H18</f>
        <v>0</v>
      </c>
      <c r="C52" s="20" t="e">
        <f>VLOOKUP(B52,Sheet3!B:E,2,0)</f>
        <v>#N/A</v>
      </c>
      <c r="D52" s="20" t="e">
        <f>VLOOKUP(B52,Sheet3!B:E,3,0)</f>
        <v>#N/A</v>
      </c>
      <c r="E52" s="20" t="e">
        <f>VLOOKUP(B52,Sheet3!B:E,4,0)</f>
        <v>#N/A</v>
      </c>
      <c r="F52" s="13" t="s">
        <v>59</v>
      </c>
      <c r="G52" s="4"/>
    </row>
    <row r="53" spans="1:7" ht="23.1" customHeight="1" x14ac:dyDescent="0.25">
      <c r="A53" s="3"/>
      <c r="B53" s="20">
        <f>'Seating Plan'!H19</f>
        <v>0</v>
      </c>
      <c r="C53" s="20" t="e">
        <f>VLOOKUP(B53,Sheet3!B:E,2,0)</f>
        <v>#N/A</v>
      </c>
      <c r="D53" s="20" t="e">
        <f>VLOOKUP(B53,Sheet3!B:E,3,0)</f>
        <v>#N/A</v>
      </c>
      <c r="E53" s="20" t="e">
        <f>VLOOKUP(B53,Sheet3!B:E,4,0)</f>
        <v>#N/A</v>
      </c>
      <c r="F53" s="13" t="s">
        <v>60</v>
      </c>
      <c r="G53" s="4"/>
    </row>
    <row r="54" spans="1:7" ht="23.1" hidden="1" customHeight="1" x14ac:dyDescent="0.25">
      <c r="A54" s="3"/>
      <c r="B54" s="12"/>
      <c r="C54" s="12"/>
      <c r="D54" s="13"/>
      <c r="E54" s="13"/>
      <c r="F54" s="13"/>
      <c r="G54" s="4"/>
    </row>
    <row r="55" spans="1:7" ht="23.1" hidden="1" customHeight="1" x14ac:dyDescent="0.25">
      <c r="A55" s="3"/>
      <c r="B55" s="12"/>
      <c r="C55" s="12"/>
      <c r="D55" s="13"/>
      <c r="E55" s="13"/>
      <c r="F55" s="13"/>
      <c r="G55" s="4"/>
    </row>
  </sheetData>
  <mergeCells count="12">
    <mergeCell ref="A35:G35"/>
    <mergeCell ref="A1:G1"/>
    <mergeCell ref="A2:G2"/>
    <mergeCell ref="A3:G3"/>
    <mergeCell ref="A4:G4"/>
    <mergeCell ref="A5:G5"/>
    <mergeCell ref="A6:G6"/>
    <mergeCell ref="A30:G30"/>
    <mergeCell ref="A31:G31"/>
    <mergeCell ref="A32:G32"/>
    <mergeCell ref="A33:G33"/>
    <mergeCell ref="A34:G34"/>
  </mergeCells>
  <phoneticPr fontId="10" type="noConversion"/>
  <pageMargins left="0.23622047244094491" right="0.23622047244094491" top="0.74803149606299213" bottom="0.74803149606299213" header="0.31496062992125984" footer="0.31496062992125984"/>
  <pageSetup orientation="portrait" r:id="rId1"/>
  <headerFooter>
    <oddFooter xml:space="preserve">&amp;L
Technical Staff Name and Sign&amp;C
 Total Present:
Total Absent:
&amp;R
Invigilator Name and Sign
Invigilator Name and Sign
</oddFooter>
  </headerFooter>
  <rowBreaks count="1" manualBreakCount="1">
    <brk id="2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FE256-425E-44F5-AE01-A4A2AD6BA107}">
  <dimension ref="A1:M68"/>
  <sheetViews>
    <sheetView zoomScaleNormal="100" zoomScalePageLayoutView="160" workbookViewId="0">
      <selection activeCell="A41" sqref="A41"/>
    </sheetView>
  </sheetViews>
  <sheetFormatPr defaultColWidth="16.7109375" defaultRowHeight="15" x14ac:dyDescent="0.25"/>
  <cols>
    <col min="1" max="1" width="6.42578125" style="1" bestFit="1" customWidth="1"/>
    <col min="2" max="2" width="16.28515625" style="1" customWidth="1"/>
    <col min="3" max="3" width="25.42578125" style="1" customWidth="1"/>
    <col min="4" max="4" width="12.85546875" style="1" bestFit="1" customWidth="1"/>
    <col min="5" max="5" width="11.28515625" style="1" customWidth="1"/>
    <col min="6" max="6" width="7.85546875" style="1" bestFit="1" customWidth="1"/>
    <col min="7" max="16384" width="16.7109375" style="1"/>
  </cols>
  <sheetData>
    <row r="1" spans="1:8" ht="20.25" x14ac:dyDescent="0.3">
      <c r="A1" s="94" t="s">
        <v>24</v>
      </c>
      <c r="B1" s="94"/>
      <c r="C1" s="94"/>
      <c r="D1" s="94"/>
      <c r="E1" s="94"/>
      <c r="F1" s="94"/>
      <c r="G1" s="94"/>
    </row>
    <row r="2" spans="1:8" ht="20.25" x14ac:dyDescent="0.3">
      <c r="A2" s="94" t="s">
        <v>25</v>
      </c>
      <c r="B2" s="94"/>
      <c r="C2" s="94"/>
      <c r="D2" s="94"/>
      <c r="E2" s="94"/>
      <c r="F2" s="94"/>
      <c r="G2" s="94"/>
    </row>
    <row r="3" spans="1:8" x14ac:dyDescent="0.25">
      <c r="A3" s="82" t="s">
        <v>20</v>
      </c>
      <c r="B3" s="82"/>
      <c r="C3" s="82"/>
      <c r="D3" s="82"/>
      <c r="E3" s="82"/>
      <c r="F3" s="82"/>
      <c r="G3" s="82"/>
      <c r="H3" s="2"/>
    </row>
    <row r="4" spans="1:8" x14ac:dyDescent="0.25">
      <c r="A4" s="82" t="s">
        <v>21</v>
      </c>
      <c r="B4" s="82"/>
      <c r="C4" s="82"/>
      <c r="D4" s="82"/>
      <c r="E4" s="82"/>
      <c r="F4" s="82"/>
      <c r="G4" s="82"/>
      <c r="H4" s="2"/>
    </row>
    <row r="5" spans="1:8" x14ac:dyDescent="0.25">
      <c r="A5" s="83" t="s">
        <v>23</v>
      </c>
      <c r="B5" s="83"/>
      <c r="C5" s="83"/>
      <c r="D5" s="83"/>
      <c r="E5" s="83"/>
      <c r="F5" s="83"/>
      <c r="G5" s="83"/>
      <c r="H5" s="2"/>
    </row>
    <row r="6" spans="1:8" x14ac:dyDescent="0.25">
      <c r="A6" s="82" t="s">
        <v>0</v>
      </c>
      <c r="B6" s="82"/>
      <c r="C6" s="82"/>
      <c r="D6" s="82"/>
      <c r="E6" s="82"/>
      <c r="F6" s="82"/>
      <c r="G6" s="82"/>
      <c r="H6" s="2"/>
    </row>
    <row r="7" spans="1:8" x14ac:dyDescent="0.25">
      <c r="A7" s="2" t="s">
        <v>156</v>
      </c>
      <c r="B7" s="2"/>
      <c r="C7" s="18" t="e">
        <f>VLOOKUP(D10,Sheet3!G:H,2,0)</f>
        <v>#N/A</v>
      </c>
      <c r="G7" s="10" t="str">
        <f>'Seating Plan'!D$3</f>
        <v>08.04.2026</v>
      </c>
    </row>
    <row r="8" spans="1:8" x14ac:dyDescent="0.25">
      <c r="G8" s="10" t="str">
        <f>'Seating Plan'!G$4</f>
        <v>Shift:I (10:00 to 11:00 AM)</v>
      </c>
    </row>
    <row r="9" spans="1:8" s="70" customFormat="1" ht="24.95" customHeight="1" x14ac:dyDescent="0.25">
      <c r="A9" s="33" t="s">
        <v>1</v>
      </c>
      <c r="B9" s="33" t="s">
        <v>3</v>
      </c>
      <c r="C9" s="33" t="s">
        <v>2</v>
      </c>
      <c r="D9" s="33" t="s">
        <v>19</v>
      </c>
      <c r="E9" s="33" t="s">
        <v>4</v>
      </c>
      <c r="F9" s="33" t="s">
        <v>18</v>
      </c>
      <c r="G9" s="33" t="s">
        <v>5</v>
      </c>
    </row>
    <row r="10" spans="1:8" ht="23.1" customHeight="1" x14ac:dyDescent="0.25">
      <c r="A10" s="28"/>
      <c r="B10" s="20">
        <f>'Seating Plan'!F20</f>
        <v>0</v>
      </c>
      <c r="C10" s="20" t="e">
        <f>VLOOKUP(B10,Sheet3!B:E,2,0)</f>
        <v>#N/A</v>
      </c>
      <c r="D10" s="20" t="e">
        <f>VLOOKUP(B10,Sheet3!B:E,3,0)</f>
        <v>#N/A</v>
      </c>
      <c r="E10" s="20" t="e">
        <f>VLOOKUP(B10,Sheet3!B:E,4,0)</f>
        <v>#N/A</v>
      </c>
      <c r="F10" s="13" t="s">
        <v>32</v>
      </c>
      <c r="G10" s="4"/>
    </row>
    <row r="11" spans="1:8" ht="23.1" customHeight="1" x14ac:dyDescent="0.25">
      <c r="A11" s="28"/>
      <c r="B11" s="20">
        <f>'Seating Plan'!F21</f>
        <v>0</v>
      </c>
      <c r="C11" s="20" t="e">
        <f>VLOOKUP(B11,Sheet3!B:E,2,0)</f>
        <v>#N/A</v>
      </c>
      <c r="D11" s="20" t="e">
        <f>VLOOKUP(B11,Sheet3!B:E,3,0)</f>
        <v>#N/A</v>
      </c>
      <c r="E11" s="20" t="e">
        <f>VLOOKUP(B11,Sheet3!B:E,4,0)</f>
        <v>#N/A</v>
      </c>
      <c r="F11" s="13" t="s">
        <v>33</v>
      </c>
      <c r="G11" s="4"/>
    </row>
    <row r="12" spans="1:8" ht="23.1" customHeight="1" x14ac:dyDescent="0.25">
      <c r="A12" s="28"/>
      <c r="B12" s="20">
        <f>'Seating Plan'!F22</f>
        <v>0</v>
      </c>
      <c r="C12" s="20" t="e">
        <f>VLOOKUP(B12,Sheet3!B:E,2,0)</f>
        <v>#N/A</v>
      </c>
      <c r="D12" s="20" t="e">
        <f>VLOOKUP(B12,Sheet3!B:E,3,0)</f>
        <v>#N/A</v>
      </c>
      <c r="E12" s="20" t="e">
        <f>VLOOKUP(B12,Sheet3!B:E,4,0)</f>
        <v>#N/A</v>
      </c>
      <c r="F12" s="13" t="s">
        <v>34</v>
      </c>
      <c r="G12" s="4"/>
    </row>
    <row r="13" spans="1:8" ht="23.1" customHeight="1" x14ac:dyDescent="0.25">
      <c r="A13" s="28"/>
      <c r="B13" s="20">
        <f>'Seating Plan'!F23</f>
        <v>0</v>
      </c>
      <c r="C13" s="20" t="e">
        <f>VLOOKUP(B13,Sheet3!B:E,2,0)</f>
        <v>#N/A</v>
      </c>
      <c r="D13" s="20" t="e">
        <f>VLOOKUP(B13,Sheet3!B:E,3,0)</f>
        <v>#N/A</v>
      </c>
      <c r="E13" s="20" t="e">
        <f>VLOOKUP(B13,Sheet3!B:E,4,0)</f>
        <v>#N/A</v>
      </c>
      <c r="F13" s="13" t="s">
        <v>35</v>
      </c>
      <c r="G13" s="4"/>
    </row>
    <row r="14" spans="1:8" ht="23.1" customHeight="1" x14ac:dyDescent="0.25">
      <c r="A14" s="28"/>
      <c r="B14" s="20">
        <f>'Seating Plan'!F24</f>
        <v>0</v>
      </c>
      <c r="C14" s="20" t="e">
        <f>VLOOKUP(B14,Sheet3!B:E,2,0)</f>
        <v>#N/A</v>
      </c>
      <c r="D14" s="20" t="e">
        <f>VLOOKUP(B14,Sheet3!B:E,3,0)</f>
        <v>#N/A</v>
      </c>
      <c r="E14" s="20" t="e">
        <f>VLOOKUP(B14,Sheet3!B:E,4,0)</f>
        <v>#N/A</v>
      </c>
      <c r="F14" s="13" t="s">
        <v>36</v>
      </c>
      <c r="G14" s="4"/>
    </row>
    <row r="15" spans="1:8" ht="23.1" customHeight="1" x14ac:dyDescent="0.25">
      <c r="A15" s="28"/>
      <c r="B15" s="20">
        <f>'Seating Plan'!F25</f>
        <v>0</v>
      </c>
      <c r="C15" s="20" t="e">
        <f>VLOOKUP(B15,Sheet3!B:E,2,0)</f>
        <v>#N/A</v>
      </c>
      <c r="D15" s="20" t="e">
        <f>VLOOKUP(B15,Sheet3!B:E,3,0)</f>
        <v>#N/A</v>
      </c>
      <c r="E15" s="20" t="e">
        <f>VLOOKUP(B15,Sheet3!B:E,4,0)</f>
        <v>#N/A</v>
      </c>
      <c r="F15" s="13" t="s">
        <v>37</v>
      </c>
      <c r="G15" s="4"/>
    </row>
    <row r="16" spans="1:8" ht="23.1" customHeight="1" x14ac:dyDescent="0.25">
      <c r="A16" s="28"/>
      <c r="B16" s="20">
        <f>'Seating Plan'!F26</f>
        <v>0</v>
      </c>
      <c r="C16" s="20" t="e">
        <f>VLOOKUP(B16,Sheet3!B:E,2,0)</f>
        <v>#N/A</v>
      </c>
      <c r="D16" s="20" t="e">
        <f>VLOOKUP(B16,Sheet3!B:E,3,0)</f>
        <v>#N/A</v>
      </c>
      <c r="E16" s="20" t="e">
        <f>VLOOKUP(B16,Sheet3!B:E,4,0)</f>
        <v>#N/A</v>
      </c>
      <c r="F16" s="13" t="s">
        <v>38</v>
      </c>
      <c r="G16" s="4"/>
    </row>
    <row r="17" spans="1:7" ht="23.1" customHeight="1" x14ac:dyDescent="0.25">
      <c r="A17" s="28"/>
      <c r="B17" s="20">
        <f>'Seating Plan'!F27</f>
        <v>0</v>
      </c>
      <c r="C17" s="20" t="e">
        <f>VLOOKUP(B17,Sheet3!B:E,2,0)</f>
        <v>#N/A</v>
      </c>
      <c r="D17" s="20" t="e">
        <f>VLOOKUP(B17,Sheet3!B:E,3,0)</f>
        <v>#N/A</v>
      </c>
      <c r="E17" s="20" t="e">
        <f>VLOOKUP(B17,Sheet3!B:E,4,0)</f>
        <v>#N/A</v>
      </c>
      <c r="F17" s="13" t="s">
        <v>39</v>
      </c>
      <c r="G17" s="4"/>
    </row>
    <row r="18" spans="1:7" ht="23.1" customHeight="1" x14ac:dyDescent="0.25">
      <c r="A18" s="28"/>
      <c r="B18" s="20">
        <f>'Seating Plan'!F28</f>
        <v>0</v>
      </c>
      <c r="C18" s="20" t="e">
        <f>VLOOKUP(B18,Sheet3!B:E,2,0)</f>
        <v>#N/A</v>
      </c>
      <c r="D18" s="20" t="e">
        <f>VLOOKUP(B18,Sheet3!B:E,3,0)</f>
        <v>#N/A</v>
      </c>
      <c r="E18" s="20" t="e">
        <f>VLOOKUP(B18,Sheet3!B:E,4,0)</f>
        <v>#N/A</v>
      </c>
      <c r="F18" s="13" t="s">
        <v>40</v>
      </c>
      <c r="G18" s="4"/>
    </row>
    <row r="19" spans="1:7" ht="23.1" customHeight="1" x14ac:dyDescent="0.25">
      <c r="A19" s="28"/>
      <c r="B19" s="20">
        <f>'Seating Plan'!F29</f>
        <v>0</v>
      </c>
      <c r="C19" s="20" t="e">
        <f>VLOOKUP(B19,Sheet3!B:E,2,0)</f>
        <v>#N/A</v>
      </c>
      <c r="D19" s="20" t="e">
        <f>VLOOKUP(B19,Sheet3!B:E,3,0)</f>
        <v>#N/A</v>
      </c>
      <c r="E19" s="20" t="e">
        <f>VLOOKUP(B19,Sheet3!B:E,4,0)</f>
        <v>#N/A</v>
      </c>
      <c r="F19" s="13" t="s">
        <v>41</v>
      </c>
      <c r="G19" s="4"/>
    </row>
    <row r="20" spans="1:7" ht="23.1" customHeight="1" x14ac:dyDescent="0.25">
      <c r="A20" s="28"/>
      <c r="B20" s="20">
        <f>'Seating Plan'!F30</f>
        <v>0</v>
      </c>
      <c r="C20" s="20" t="e">
        <f>VLOOKUP(B20,Sheet3!B:E,2,0)</f>
        <v>#N/A</v>
      </c>
      <c r="D20" s="20" t="e">
        <f>VLOOKUP(B20,Sheet3!B:E,3,0)</f>
        <v>#N/A</v>
      </c>
      <c r="E20" s="20" t="e">
        <f>VLOOKUP(B20,Sheet3!B:E,4,0)</f>
        <v>#N/A</v>
      </c>
      <c r="F20" s="13" t="s">
        <v>42</v>
      </c>
      <c r="G20" s="4"/>
    </row>
    <row r="21" spans="1:7" ht="23.1" customHeight="1" x14ac:dyDescent="0.25">
      <c r="A21" s="28"/>
      <c r="B21" s="20">
        <f>'Seating Plan'!F31</f>
        <v>0</v>
      </c>
      <c r="C21" s="20" t="e">
        <f>VLOOKUP(B21,Sheet3!B:E,2,0)</f>
        <v>#N/A</v>
      </c>
      <c r="D21" s="20" t="e">
        <f>VLOOKUP(B21,Sheet3!B:E,3,0)</f>
        <v>#N/A</v>
      </c>
      <c r="E21" s="20" t="e">
        <f>VLOOKUP(B21,Sheet3!B:E,4,0)</f>
        <v>#N/A</v>
      </c>
      <c r="F21" s="13" t="s">
        <v>43</v>
      </c>
      <c r="G21" s="4"/>
    </row>
    <row r="22" spans="1:7" ht="23.1" customHeight="1" x14ac:dyDescent="0.25">
      <c r="A22" s="28"/>
      <c r="B22" s="20">
        <f>'Seating Plan'!F32</f>
        <v>0</v>
      </c>
      <c r="C22" s="20" t="e">
        <f>VLOOKUP(B22,Sheet3!B:E,2,0)</f>
        <v>#N/A</v>
      </c>
      <c r="D22" s="20" t="e">
        <f>VLOOKUP(B22,Sheet3!B:E,3,0)</f>
        <v>#N/A</v>
      </c>
      <c r="E22" s="20" t="e">
        <f>VLOOKUP(B22,Sheet3!B:E,4,0)</f>
        <v>#N/A</v>
      </c>
      <c r="F22" s="13" t="s">
        <v>44</v>
      </c>
      <c r="G22" s="4"/>
    </row>
    <row r="23" spans="1:7" ht="23.1" customHeight="1" x14ac:dyDescent="0.25">
      <c r="A23" s="28"/>
      <c r="B23" s="20">
        <f>'Seating Plan'!F33</f>
        <v>0</v>
      </c>
      <c r="C23" s="20" t="e">
        <f>VLOOKUP(B23,Sheet3!B:E,2,0)</f>
        <v>#N/A</v>
      </c>
      <c r="D23" s="20" t="e">
        <f>VLOOKUP(B23,Sheet3!B:E,3,0)</f>
        <v>#N/A</v>
      </c>
      <c r="E23" s="20" t="e">
        <f>VLOOKUP(B23,Sheet3!B:E,4,0)</f>
        <v>#N/A</v>
      </c>
      <c r="F23" s="13" t="s">
        <v>45</v>
      </c>
      <c r="G23" s="4"/>
    </row>
    <row r="24" spans="1:7" ht="23.1" customHeight="1" x14ac:dyDescent="0.25">
      <c r="A24" s="28"/>
      <c r="B24" s="20">
        <f>'Seating Plan'!F34</f>
        <v>0</v>
      </c>
      <c r="C24" s="20" t="e">
        <f>VLOOKUP(B24,Sheet3!B:E,2,0)</f>
        <v>#N/A</v>
      </c>
      <c r="D24" s="20" t="e">
        <f>VLOOKUP(B24,Sheet3!B:E,3,0)</f>
        <v>#N/A</v>
      </c>
      <c r="E24" s="20" t="e">
        <f>VLOOKUP(B24,Sheet3!B:E,4,0)</f>
        <v>#N/A</v>
      </c>
      <c r="F24" s="13" t="s">
        <v>62</v>
      </c>
      <c r="G24" s="4"/>
    </row>
    <row r="25" spans="1:7" ht="23.1" customHeight="1" x14ac:dyDescent="0.25">
      <c r="A25" s="28"/>
      <c r="B25" s="20">
        <f>'Seating Plan'!F35</f>
        <v>0</v>
      </c>
      <c r="C25" s="20" t="e">
        <f>VLOOKUP(B25,Sheet3!B:E,2,0)</f>
        <v>#N/A</v>
      </c>
      <c r="D25" s="20" t="e">
        <f>VLOOKUP(B25,Sheet3!B:E,3,0)</f>
        <v>#N/A</v>
      </c>
      <c r="E25" s="20" t="e">
        <f>VLOOKUP(B25,Sheet3!B:E,4,0)</f>
        <v>#N/A</v>
      </c>
      <c r="F25" s="13" t="s">
        <v>63</v>
      </c>
      <c r="G25" s="4"/>
    </row>
    <row r="26" spans="1:7" ht="23.1" customHeight="1" x14ac:dyDescent="0.25">
      <c r="A26" s="28"/>
      <c r="B26" s="20">
        <f>'Seating Plan'!F36</f>
        <v>0</v>
      </c>
      <c r="C26" s="20" t="e">
        <f>VLOOKUP(B26,Sheet3!B:E,2,0)</f>
        <v>#N/A</v>
      </c>
      <c r="D26" s="20" t="e">
        <f>VLOOKUP(B26,Sheet3!B:E,3,0)</f>
        <v>#N/A</v>
      </c>
      <c r="E26" s="20" t="e">
        <f>VLOOKUP(B26,Sheet3!B:E,4,0)</f>
        <v>#N/A</v>
      </c>
      <c r="F26" s="13" t="s">
        <v>64</v>
      </c>
      <c r="G26" s="4"/>
    </row>
    <row r="27" spans="1:7" ht="23.1" customHeight="1" x14ac:dyDescent="0.25">
      <c r="A27" s="28"/>
      <c r="B27" s="20">
        <f>'Seating Plan'!F37</f>
        <v>0</v>
      </c>
      <c r="C27" s="20" t="e">
        <f>VLOOKUP(B27,Sheet3!B:E,2,0)</f>
        <v>#N/A</v>
      </c>
      <c r="D27" s="20" t="e">
        <f>VLOOKUP(B27,Sheet3!B:E,3,0)</f>
        <v>#N/A</v>
      </c>
      <c r="E27" s="20" t="e">
        <f>VLOOKUP(B27,Sheet3!B:E,4,0)</f>
        <v>#N/A</v>
      </c>
      <c r="F27" s="13" t="s">
        <v>65</v>
      </c>
      <c r="G27" s="4"/>
    </row>
    <row r="28" spans="1:7" ht="23.1" customHeight="1" x14ac:dyDescent="0.25">
      <c r="A28" s="28"/>
      <c r="B28" s="20">
        <f>'Seating Plan'!F38</f>
        <v>0</v>
      </c>
      <c r="C28" s="20" t="e">
        <f>VLOOKUP(B28,Sheet3!B:E,2,0)</f>
        <v>#N/A</v>
      </c>
      <c r="D28" s="20" t="e">
        <f>VLOOKUP(B28,Sheet3!B:E,3,0)</f>
        <v>#N/A</v>
      </c>
      <c r="E28" s="20" t="e">
        <f>VLOOKUP(B28,Sheet3!B:E,4,0)</f>
        <v>#N/A</v>
      </c>
      <c r="F28" s="13" t="s">
        <v>66</v>
      </c>
      <c r="G28" s="4"/>
    </row>
    <row r="29" spans="1:7" ht="23.1" customHeight="1" x14ac:dyDescent="0.25">
      <c r="A29" s="28"/>
      <c r="B29" s="20">
        <f>'Seating Plan'!F39</f>
        <v>0</v>
      </c>
      <c r="C29" s="20" t="e">
        <f>VLOOKUP(B29,Sheet3!B:E,2,0)</f>
        <v>#N/A</v>
      </c>
      <c r="D29" s="20" t="e">
        <f>VLOOKUP(B29,Sheet3!B:E,3,0)</f>
        <v>#N/A</v>
      </c>
      <c r="E29" s="20" t="e">
        <f>VLOOKUP(B29,Sheet3!B:E,4,0)</f>
        <v>#N/A</v>
      </c>
      <c r="F29" s="13" t="s">
        <v>67</v>
      </c>
      <c r="G29" s="4"/>
    </row>
    <row r="30" spans="1:7" ht="23.1" customHeight="1" x14ac:dyDescent="0.25">
      <c r="A30" s="28"/>
      <c r="B30" s="20">
        <f>'Seating Plan'!F40</f>
        <v>0</v>
      </c>
      <c r="C30" s="20" t="e">
        <f>VLOOKUP(B30,Sheet3!B:E,2,0)</f>
        <v>#N/A</v>
      </c>
      <c r="D30" s="20" t="e">
        <f>VLOOKUP(B30,Sheet3!B:E,3,0)</f>
        <v>#N/A</v>
      </c>
      <c r="E30" s="20" t="e">
        <f>VLOOKUP(B30,Sheet3!B:E,4,0)</f>
        <v>#N/A</v>
      </c>
      <c r="F30" s="13" t="s">
        <v>68</v>
      </c>
      <c r="G30" s="4"/>
    </row>
    <row r="31" spans="1:7" ht="23.1" customHeight="1" x14ac:dyDescent="0.25">
      <c r="A31" s="28"/>
      <c r="B31" s="20">
        <f>'Seating Plan'!F41</f>
        <v>0</v>
      </c>
      <c r="C31" s="20" t="e">
        <f>VLOOKUP(B31,Sheet3!B:E,2,0)</f>
        <v>#N/A</v>
      </c>
      <c r="D31" s="20" t="e">
        <f>VLOOKUP(B31,Sheet3!B:E,3,0)</f>
        <v>#N/A</v>
      </c>
      <c r="E31" s="20" t="e">
        <f>VLOOKUP(B31,Sheet3!B:E,4,0)</f>
        <v>#N/A</v>
      </c>
      <c r="F31" s="13" t="s">
        <v>69</v>
      </c>
      <c r="G31" s="4"/>
    </row>
    <row r="32" spans="1:7" ht="23.1" customHeight="1" x14ac:dyDescent="0.25">
      <c r="A32" s="28"/>
      <c r="B32" s="20">
        <f>'Seating Plan'!F42</f>
        <v>0</v>
      </c>
      <c r="C32" s="20" t="e">
        <f>VLOOKUP(B32,Sheet3!B:E,2,0)</f>
        <v>#N/A</v>
      </c>
      <c r="D32" s="20" t="e">
        <f>VLOOKUP(B32,Sheet3!B:E,3,0)</f>
        <v>#N/A</v>
      </c>
      <c r="E32" s="20" t="e">
        <f>VLOOKUP(B32,Sheet3!B:E,4,0)</f>
        <v>#N/A</v>
      </c>
      <c r="F32" s="13" t="s">
        <v>70</v>
      </c>
      <c r="G32" s="4"/>
    </row>
    <row r="33" spans="1:13" ht="23.1" customHeight="1" x14ac:dyDescent="0.25">
      <c r="A33" s="28"/>
      <c r="B33" s="20">
        <f>'Seating Plan'!F43</f>
        <v>0</v>
      </c>
      <c r="C33" s="20" t="e">
        <f>VLOOKUP(B33,Sheet3!B:E,2,0)</f>
        <v>#N/A</v>
      </c>
      <c r="D33" s="20" t="e">
        <f>VLOOKUP(B33,Sheet3!B:E,3,0)</f>
        <v>#N/A</v>
      </c>
      <c r="E33" s="20" t="e">
        <f>VLOOKUP(B33,Sheet3!B:E,4,0)</f>
        <v>#N/A</v>
      </c>
      <c r="F33" s="13" t="s">
        <v>71</v>
      </c>
      <c r="G33" s="4"/>
    </row>
    <row r="34" spans="1:13" ht="24.95" customHeight="1" x14ac:dyDescent="0.25">
      <c r="A34" s="28"/>
      <c r="B34" s="20">
        <f>'Seating Plan'!F44</f>
        <v>0</v>
      </c>
      <c r="C34" s="20" t="e">
        <f>VLOOKUP(B34,Sheet3!B:E,2,0)</f>
        <v>#N/A</v>
      </c>
      <c r="D34" s="20" t="e">
        <f>VLOOKUP(B34,Sheet3!B:E,3,0)</f>
        <v>#N/A</v>
      </c>
      <c r="E34" s="20" t="e">
        <f>VLOOKUP(B34,Sheet3!B:E,4,0)</f>
        <v>#N/A</v>
      </c>
      <c r="F34" s="13" t="s">
        <v>72</v>
      </c>
      <c r="G34" s="4"/>
    </row>
    <row r="35" spans="1:13" ht="20.25" x14ac:dyDescent="0.3">
      <c r="A35" s="94" t="s">
        <v>24</v>
      </c>
      <c r="B35" s="94"/>
      <c r="C35" s="94"/>
      <c r="D35" s="94"/>
      <c r="E35" s="94"/>
      <c r="F35" s="94"/>
      <c r="G35" s="94"/>
    </row>
    <row r="36" spans="1:13" ht="20.25" x14ac:dyDescent="0.3">
      <c r="A36" s="94" t="s">
        <v>25</v>
      </c>
      <c r="B36" s="94"/>
      <c r="C36" s="94"/>
      <c r="D36" s="94"/>
      <c r="E36" s="94"/>
      <c r="F36" s="94"/>
      <c r="G36" s="94"/>
    </row>
    <row r="37" spans="1:13" x14ac:dyDescent="0.25">
      <c r="A37" s="82" t="s">
        <v>20</v>
      </c>
      <c r="B37" s="82"/>
      <c r="C37" s="82"/>
      <c r="D37" s="82"/>
      <c r="E37" s="82"/>
      <c r="F37" s="82"/>
      <c r="G37" s="82"/>
    </row>
    <row r="38" spans="1:13" x14ac:dyDescent="0.25">
      <c r="A38" s="82" t="s">
        <v>21</v>
      </c>
      <c r="B38" s="82"/>
      <c r="C38" s="82"/>
      <c r="D38" s="82"/>
      <c r="E38" s="82"/>
      <c r="F38" s="82"/>
      <c r="G38" s="82"/>
    </row>
    <row r="39" spans="1:13" x14ac:dyDescent="0.25">
      <c r="A39" s="83" t="s">
        <v>23</v>
      </c>
      <c r="B39" s="83"/>
      <c r="C39" s="83"/>
      <c r="D39" s="83"/>
      <c r="E39" s="83"/>
      <c r="F39" s="83"/>
      <c r="G39" s="83"/>
    </row>
    <row r="40" spans="1:13" x14ac:dyDescent="0.25">
      <c r="A40" s="82" t="s">
        <v>0</v>
      </c>
      <c r="B40" s="82"/>
      <c r="C40" s="82"/>
      <c r="D40" s="82"/>
      <c r="E40" s="82"/>
      <c r="F40" s="82"/>
      <c r="G40" s="82"/>
    </row>
    <row r="41" spans="1:13" x14ac:dyDescent="0.25">
      <c r="A41" s="2" t="s">
        <v>156</v>
      </c>
      <c r="B41" s="2"/>
      <c r="C41" s="18" t="e">
        <f>VLOOKUP(D44,Sheet3!G:H,2,0)</f>
        <v>#N/A</v>
      </c>
      <c r="D41" s="18"/>
      <c r="E41" s="18"/>
      <c r="F41" s="18"/>
      <c r="G41" s="10" t="str">
        <f>'Seating Plan'!D$3</f>
        <v>08.04.2026</v>
      </c>
    </row>
    <row r="42" spans="1:13" x14ac:dyDescent="0.25">
      <c r="G42" s="10" t="str">
        <f>'Seating Plan'!G$4</f>
        <v>Shift:I (10:00 to 11:00 AM)</v>
      </c>
    </row>
    <row r="43" spans="1:13" ht="23.1" customHeight="1" x14ac:dyDescent="0.25">
      <c r="A43" s="5" t="s">
        <v>1</v>
      </c>
      <c r="B43" s="5" t="s">
        <v>3</v>
      </c>
      <c r="C43" s="5" t="s">
        <v>2</v>
      </c>
      <c r="D43" s="5" t="s">
        <v>19</v>
      </c>
      <c r="E43" s="5" t="s">
        <v>4</v>
      </c>
      <c r="F43" s="5" t="s">
        <v>18</v>
      </c>
      <c r="G43" s="5" t="s">
        <v>5</v>
      </c>
      <c r="M43" s="2"/>
    </row>
    <row r="44" spans="1:13" ht="23.1" customHeight="1" x14ac:dyDescent="0.25">
      <c r="A44" s="28"/>
      <c r="B44" s="68">
        <f>'Seating Plan'!H20</f>
        <v>0</v>
      </c>
      <c r="C44" s="20" t="e">
        <f>VLOOKUP(B44,Sheet3!B:E,2,0)</f>
        <v>#N/A</v>
      </c>
      <c r="D44" s="20" t="e">
        <f>VLOOKUP(B44,Sheet3!B:E,3,0)</f>
        <v>#N/A</v>
      </c>
      <c r="E44" s="20" t="e">
        <f>VLOOKUP(B44,Sheet3!B:E,4,0)</f>
        <v>#N/A</v>
      </c>
      <c r="F44" s="13" t="s">
        <v>47</v>
      </c>
      <c r="G44" s="31"/>
    </row>
    <row r="45" spans="1:13" ht="23.1" customHeight="1" x14ac:dyDescent="0.25">
      <c r="A45" s="28"/>
      <c r="B45" s="68">
        <f>'Seating Plan'!H21</f>
        <v>0</v>
      </c>
      <c r="C45" s="20" t="e">
        <f>VLOOKUP(B45,Sheet3!B:E,2,0)</f>
        <v>#N/A</v>
      </c>
      <c r="D45" s="20" t="e">
        <f>VLOOKUP(B45,Sheet3!B:E,3,0)</f>
        <v>#N/A</v>
      </c>
      <c r="E45" s="20" t="e">
        <f>VLOOKUP(B45,Sheet3!B:E,4,0)</f>
        <v>#N/A</v>
      </c>
      <c r="F45" s="13" t="s">
        <v>48</v>
      </c>
      <c r="G45" s="31"/>
    </row>
    <row r="46" spans="1:13" ht="23.1" customHeight="1" x14ac:dyDescent="0.25">
      <c r="A46" s="28"/>
      <c r="B46" s="68">
        <f>'Seating Plan'!H22</f>
        <v>0</v>
      </c>
      <c r="C46" s="20" t="e">
        <f>VLOOKUP(B46,Sheet3!B:E,2,0)</f>
        <v>#N/A</v>
      </c>
      <c r="D46" s="20" t="e">
        <f>VLOOKUP(B46,Sheet3!B:E,3,0)</f>
        <v>#N/A</v>
      </c>
      <c r="E46" s="20" t="e">
        <f>VLOOKUP(B46,Sheet3!B:E,4,0)</f>
        <v>#N/A</v>
      </c>
      <c r="F46" s="13" t="s">
        <v>49</v>
      </c>
      <c r="G46" s="31"/>
    </row>
    <row r="47" spans="1:13" ht="23.1" customHeight="1" x14ac:dyDescent="0.25">
      <c r="A47" s="28"/>
      <c r="B47" s="68">
        <f>'Seating Plan'!H23</f>
        <v>0</v>
      </c>
      <c r="C47" s="20" t="e">
        <f>VLOOKUP(B47,Sheet3!B:E,2,0)</f>
        <v>#N/A</v>
      </c>
      <c r="D47" s="20" t="e">
        <f>VLOOKUP(B47,Sheet3!B:E,3,0)</f>
        <v>#N/A</v>
      </c>
      <c r="E47" s="20" t="e">
        <f>VLOOKUP(B47,Sheet3!B:E,4,0)</f>
        <v>#N/A</v>
      </c>
      <c r="F47" s="13" t="s">
        <v>50</v>
      </c>
      <c r="G47" s="31"/>
    </row>
    <row r="48" spans="1:13" ht="23.1" customHeight="1" x14ac:dyDescent="0.25">
      <c r="A48" s="28"/>
      <c r="B48" s="68">
        <f>'Seating Plan'!H24</f>
        <v>0</v>
      </c>
      <c r="C48" s="20" t="e">
        <f>VLOOKUP(B48,Sheet3!B:E,2,0)</f>
        <v>#N/A</v>
      </c>
      <c r="D48" s="20" t="e">
        <f>VLOOKUP(B48,Sheet3!B:E,3,0)</f>
        <v>#N/A</v>
      </c>
      <c r="E48" s="20" t="e">
        <f>VLOOKUP(B48,Sheet3!B:E,4,0)</f>
        <v>#N/A</v>
      </c>
      <c r="F48" s="13" t="s">
        <v>51</v>
      </c>
      <c r="G48" s="31"/>
    </row>
    <row r="49" spans="1:7" ht="23.1" customHeight="1" x14ac:dyDescent="0.25">
      <c r="A49" s="28"/>
      <c r="B49" s="68">
        <f>'Seating Plan'!H25</f>
        <v>0</v>
      </c>
      <c r="C49" s="20" t="e">
        <f>VLOOKUP(B49,Sheet3!B:E,2,0)</f>
        <v>#N/A</v>
      </c>
      <c r="D49" s="20" t="e">
        <f>VLOOKUP(B49,Sheet3!B:E,3,0)</f>
        <v>#N/A</v>
      </c>
      <c r="E49" s="20" t="e">
        <f>VLOOKUP(B49,Sheet3!B:E,4,0)</f>
        <v>#N/A</v>
      </c>
      <c r="F49" s="13" t="s">
        <v>46</v>
      </c>
      <c r="G49" s="31"/>
    </row>
    <row r="50" spans="1:7" ht="23.1" customHeight="1" x14ac:dyDescent="0.25">
      <c r="A50" s="28"/>
      <c r="B50" s="68">
        <f>'Seating Plan'!H26</f>
        <v>0</v>
      </c>
      <c r="C50" s="20" t="e">
        <f>VLOOKUP(B50,Sheet3!B:E,2,0)</f>
        <v>#N/A</v>
      </c>
      <c r="D50" s="20" t="e">
        <f>VLOOKUP(B50,Sheet3!B:E,3,0)</f>
        <v>#N/A</v>
      </c>
      <c r="E50" s="20" t="e">
        <f>VLOOKUP(B50,Sheet3!B:E,4,0)</f>
        <v>#N/A</v>
      </c>
      <c r="F50" s="13" t="s">
        <v>52</v>
      </c>
      <c r="G50" s="31"/>
    </row>
    <row r="51" spans="1:7" ht="23.1" customHeight="1" x14ac:dyDescent="0.25">
      <c r="A51" s="28"/>
      <c r="B51" s="68">
        <f>'Seating Plan'!H27</f>
        <v>0</v>
      </c>
      <c r="C51" s="20" t="e">
        <f>VLOOKUP(B51,Sheet3!B:E,2,0)</f>
        <v>#N/A</v>
      </c>
      <c r="D51" s="20" t="e">
        <f>VLOOKUP(B51,Sheet3!B:E,3,0)</f>
        <v>#N/A</v>
      </c>
      <c r="E51" s="20" t="e">
        <f>VLOOKUP(B51,Sheet3!B:E,4,0)</f>
        <v>#N/A</v>
      </c>
      <c r="F51" s="13" t="s">
        <v>53</v>
      </c>
      <c r="G51" s="31"/>
    </row>
    <row r="52" spans="1:7" ht="23.1" customHeight="1" x14ac:dyDescent="0.25">
      <c r="A52" s="28"/>
      <c r="B52" s="68">
        <f>'Seating Plan'!H28</f>
        <v>0</v>
      </c>
      <c r="C52" s="20" t="e">
        <f>VLOOKUP(B52,Sheet3!B:E,2,0)</f>
        <v>#N/A</v>
      </c>
      <c r="D52" s="20" t="e">
        <f>VLOOKUP(B52,Sheet3!B:E,3,0)</f>
        <v>#N/A</v>
      </c>
      <c r="E52" s="20" t="e">
        <f>VLOOKUP(B52,Sheet3!B:E,4,0)</f>
        <v>#N/A</v>
      </c>
      <c r="F52" s="13" t="s">
        <v>54</v>
      </c>
      <c r="G52" s="31"/>
    </row>
    <row r="53" spans="1:7" ht="23.1" customHeight="1" x14ac:dyDescent="0.25">
      <c r="A53" s="28"/>
      <c r="B53" s="68">
        <f>'Seating Plan'!H29</f>
        <v>0</v>
      </c>
      <c r="C53" s="20" t="e">
        <f>VLOOKUP(B53,Sheet3!B:E,2,0)</f>
        <v>#N/A</v>
      </c>
      <c r="D53" s="20" t="e">
        <f>VLOOKUP(B53,Sheet3!B:E,3,0)</f>
        <v>#N/A</v>
      </c>
      <c r="E53" s="20" t="e">
        <f>VLOOKUP(B53,Sheet3!B:E,4,0)</f>
        <v>#N/A</v>
      </c>
      <c r="F53" s="13" t="s">
        <v>55</v>
      </c>
      <c r="G53" s="31"/>
    </row>
    <row r="54" spans="1:7" ht="23.1" customHeight="1" x14ac:dyDescent="0.25">
      <c r="A54" s="28"/>
      <c r="B54" s="68">
        <f>'Seating Plan'!H30</f>
        <v>0</v>
      </c>
      <c r="C54" s="20" t="e">
        <f>VLOOKUP(B54,Sheet3!B:E,2,0)</f>
        <v>#N/A</v>
      </c>
      <c r="D54" s="20" t="e">
        <f>VLOOKUP(B54,Sheet3!B:E,3,0)</f>
        <v>#N/A</v>
      </c>
      <c r="E54" s="20" t="e">
        <f>VLOOKUP(B54,Sheet3!B:E,4,0)</f>
        <v>#N/A</v>
      </c>
      <c r="F54" s="13" t="s">
        <v>56</v>
      </c>
      <c r="G54" s="31"/>
    </row>
    <row r="55" spans="1:7" ht="23.1" customHeight="1" x14ac:dyDescent="0.25">
      <c r="A55" s="28"/>
      <c r="B55" s="68">
        <f>'Seating Plan'!H31</f>
        <v>0</v>
      </c>
      <c r="C55" s="20" t="e">
        <f>VLOOKUP(B55,Sheet3!B:E,2,0)</f>
        <v>#N/A</v>
      </c>
      <c r="D55" s="20" t="e">
        <f>VLOOKUP(B55,Sheet3!B:E,3,0)</f>
        <v>#N/A</v>
      </c>
      <c r="E55" s="20" t="e">
        <f>VLOOKUP(B55,Sheet3!B:E,4,0)</f>
        <v>#N/A</v>
      </c>
      <c r="F55" s="13" t="s">
        <v>57</v>
      </c>
      <c r="G55" s="31"/>
    </row>
    <row r="56" spans="1:7" ht="23.1" customHeight="1" x14ac:dyDescent="0.25">
      <c r="A56" s="28"/>
      <c r="B56" s="68">
        <f>'Seating Plan'!H32</f>
        <v>0</v>
      </c>
      <c r="C56" s="20" t="e">
        <f>VLOOKUP(B56,Sheet3!B:E,2,0)</f>
        <v>#N/A</v>
      </c>
      <c r="D56" s="20" t="e">
        <f>VLOOKUP(B56,Sheet3!B:E,3,0)</f>
        <v>#N/A</v>
      </c>
      <c r="E56" s="20" t="e">
        <f>VLOOKUP(B56,Sheet3!B:E,4,0)</f>
        <v>#N/A</v>
      </c>
      <c r="F56" s="13" t="s">
        <v>58</v>
      </c>
      <c r="G56" s="31"/>
    </row>
    <row r="57" spans="1:7" ht="23.1" customHeight="1" x14ac:dyDescent="0.25">
      <c r="A57" s="28"/>
      <c r="B57" s="68">
        <f>'Seating Plan'!H33</f>
        <v>0</v>
      </c>
      <c r="C57" s="20" t="e">
        <f>VLOOKUP(B57,Sheet3!B:E,2,0)</f>
        <v>#N/A</v>
      </c>
      <c r="D57" s="20" t="e">
        <f>VLOOKUP(B57,Sheet3!B:E,3,0)</f>
        <v>#N/A</v>
      </c>
      <c r="E57" s="20" t="e">
        <f>VLOOKUP(B57,Sheet3!B:E,4,0)</f>
        <v>#N/A</v>
      </c>
      <c r="F57" s="13" t="s">
        <v>59</v>
      </c>
      <c r="G57" s="31"/>
    </row>
    <row r="58" spans="1:7" ht="23.1" customHeight="1" x14ac:dyDescent="0.25">
      <c r="A58" s="28"/>
      <c r="B58" s="68">
        <f>'Seating Plan'!H34</f>
        <v>0</v>
      </c>
      <c r="C58" s="20" t="e">
        <f>VLOOKUP(B58,Sheet3!B:E,2,0)</f>
        <v>#N/A</v>
      </c>
      <c r="D58" s="20" t="e">
        <f>VLOOKUP(B58,Sheet3!B:E,3,0)</f>
        <v>#N/A</v>
      </c>
      <c r="E58" s="20" t="e">
        <f>VLOOKUP(B58,Sheet3!B:E,4,0)</f>
        <v>#N/A</v>
      </c>
      <c r="F58" s="13" t="s">
        <v>60</v>
      </c>
      <c r="G58" s="31"/>
    </row>
    <row r="59" spans="1:7" ht="23.1" customHeight="1" x14ac:dyDescent="0.25">
      <c r="A59" s="28"/>
      <c r="B59" s="68">
        <f>'Seating Plan'!H35</f>
        <v>0</v>
      </c>
      <c r="C59" s="20" t="e">
        <f>VLOOKUP(B59,Sheet3!B:E,2,0)</f>
        <v>#N/A</v>
      </c>
      <c r="D59" s="20" t="e">
        <f>VLOOKUP(B59,Sheet3!B:E,3,0)</f>
        <v>#N/A</v>
      </c>
      <c r="E59" s="20" t="e">
        <f>VLOOKUP(B59,Sheet3!B:E,4,0)</f>
        <v>#N/A</v>
      </c>
      <c r="F59" s="13" t="s">
        <v>61</v>
      </c>
      <c r="G59" s="31"/>
    </row>
    <row r="60" spans="1:7" ht="23.1" customHeight="1" x14ac:dyDescent="0.25">
      <c r="A60" s="28"/>
      <c r="B60" s="68">
        <f>'Seating Plan'!H36</f>
        <v>0</v>
      </c>
      <c r="C60" s="20" t="e">
        <f>VLOOKUP(B60,Sheet3!B:E,2,0)</f>
        <v>#N/A</v>
      </c>
      <c r="D60" s="20" t="e">
        <f>VLOOKUP(B60,Sheet3!B:E,3,0)</f>
        <v>#N/A</v>
      </c>
      <c r="E60" s="20" t="e">
        <f>VLOOKUP(B60,Sheet3!B:E,4,0)</f>
        <v>#N/A</v>
      </c>
      <c r="F60" s="13" t="s">
        <v>82</v>
      </c>
      <c r="G60" s="31"/>
    </row>
    <row r="61" spans="1:7" ht="23.1" customHeight="1" x14ac:dyDescent="0.25">
      <c r="A61" s="28"/>
      <c r="B61" s="68">
        <f>'Seating Plan'!H37</f>
        <v>0</v>
      </c>
      <c r="C61" s="20" t="e">
        <f>VLOOKUP(B61,Sheet3!B:E,2,0)</f>
        <v>#N/A</v>
      </c>
      <c r="D61" s="20" t="e">
        <f>VLOOKUP(B61,Sheet3!B:E,3,0)</f>
        <v>#N/A</v>
      </c>
      <c r="E61" s="20" t="e">
        <f>VLOOKUP(B61,Sheet3!B:E,4,0)</f>
        <v>#N/A</v>
      </c>
      <c r="F61" s="13" t="s">
        <v>83</v>
      </c>
      <c r="G61" s="31"/>
    </row>
    <row r="62" spans="1:7" ht="23.1" customHeight="1" x14ac:dyDescent="0.25">
      <c r="A62" s="28"/>
      <c r="B62" s="68">
        <f>'Seating Plan'!H38</f>
        <v>0</v>
      </c>
      <c r="C62" s="20" t="e">
        <f>VLOOKUP(B62,Sheet3!B:E,2,0)</f>
        <v>#N/A</v>
      </c>
      <c r="D62" s="20" t="e">
        <f>VLOOKUP(B62,Sheet3!B:E,3,0)</f>
        <v>#N/A</v>
      </c>
      <c r="E62" s="20" t="e">
        <f>VLOOKUP(B62,Sheet3!B:E,4,0)</f>
        <v>#N/A</v>
      </c>
      <c r="F62" s="13" t="s">
        <v>84</v>
      </c>
      <c r="G62" s="31"/>
    </row>
    <row r="63" spans="1:7" ht="27.75" customHeight="1" x14ac:dyDescent="0.25">
      <c r="A63" s="28"/>
      <c r="B63" s="68">
        <f>'Seating Plan'!H39</f>
        <v>0</v>
      </c>
      <c r="C63" s="20" t="e">
        <f>VLOOKUP(B63,Sheet3!B:E,2,0)</f>
        <v>#N/A</v>
      </c>
      <c r="D63" s="20" t="e">
        <f>VLOOKUP(B63,Sheet3!B:E,3,0)</f>
        <v>#N/A</v>
      </c>
      <c r="E63" s="20" t="e">
        <f>VLOOKUP(B63,Sheet3!B:E,4,0)</f>
        <v>#N/A</v>
      </c>
      <c r="F63" s="13" t="s">
        <v>85</v>
      </c>
      <c r="G63" s="31"/>
    </row>
    <row r="64" spans="1:7" ht="23.1" customHeight="1" x14ac:dyDescent="0.25">
      <c r="A64" s="28"/>
      <c r="B64" s="68">
        <f>'Seating Plan'!H40</f>
        <v>0</v>
      </c>
      <c r="C64" s="20" t="e">
        <f>VLOOKUP(B64,Sheet3!B:E,2,0)</f>
        <v>#N/A</v>
      </c>
      <c r="D64" s="20" t="e">
        <f>VLOOKUP(B64,Sheet3!B:E,3,0)</f>
        <v>#N/A</v>
      </c>
      <c r="E64" s="20" t="e">
        <f>VLOOKUP(B64,Sheet3!B:E,4,0)</f>
        <v>#N/A</v>
      </c>
      <c r="F64" s="13" t="s">
        <v>86</v>
      </c>
      <c r="G64" s="31"/>
    </row>
    <row r="65" spans="1:7" ht="23.1" customHeight="1" x14ac:dyDescent="0.25">
      <c r="A65" s="28"/>
      <c r="B65" s="68">
        <f>'Seating Plan'!H41</f>
        <v>0</v>
      </c>
      <c r="C65" s="20" t="e">
        <f>VLOOKUP(B65,Sheet3!B:E,2,0)</f>
        <v>#N/A</v>
      </c>
      <c r="D65" s="20" t="e">
        <f>VLOOKUP(B65,Sheet3!B:E,3,0)</f>
        <v>#N/A</v>
      </c>
      <c r="E65" s="20" t="e">
        <f>VLOOKUP(B65,Sheet3!B:E,4,0)</f>
        <v>#N/A</v>
      </c>
      <c r="F65" s="13" t="s">
        <v>87</v>
      </c>
      <c r="G65" s="31"/>
    </row>
    <row r="66" spans="1:7" ht="23.1" customHeight="1" x14ac:dyDescent="0.25">
      <c r="A66" s="28"/>
      <c r="B66" s="68">
        <f>'Seating Plan'!H42</f>
        <v>0</v>
      </c>
      <c r="C66" s="20" t="e">
        <f>VLOOKUP(B66,Sheet3!B:E,2,0)</f>
        <v>#N/A</v>
      </c>
      <c r="D66" s="20" t="e">
        <f>VLOOKUP(B66,Sheet3!B:E,3,0)</f>
        <v>#N/A</v>
      </c>
      <c r="E66" s="20" t="e">
        <f>VLOOKUP(B66,Sheet3!B:E,4,0)</f>
        <v>#N/A</v>
      </c>
      <c r="F66" s="13" t="s">
        <v>88</v>
      </c>
      <c r="G66" s="31"/>
    </row>
    <row r="67" spans="1:7" ht="23.1" customHeight="1" x14ac:dyDescent="0.25">
      <c r="A67" s="28"/>
      <c r="B67" s="68">
        <f>'Seating Plan'!H43</f>
        <v>0</v>
      </c>
      <c r="C67" s="20" t="e">
        <f>VLOOKUP(B67,Sheet3!B:E,2,0)</f>
        <v>#N/A</v>
      </c>
      <c r="D67" s="20" t="e">
        <f>VLOOKUP(B67,Sheet3!B:E,3,0)</f>
        <v>#N/A</v>
      </c>
      <c r="E67" s="20" t="e">
        <f>VLOOKUP(B67,Sheet3!B:E,4,0)</f>
        <v>#N/A</v>
      </c>
      <c r="F67" s="13" t="s">
        <v>89</v>
      </c>
      <c r="G67" s="31"/>
    </row>
    <row r="68" spans="1:7" ht="23.1" customHeight="1" x14ac:dyDescent="0.25">
      <c r="A68" s="28"/>
      <c r="B68" s="68">
        <f>'Seating Plan'!H44</f>
        <v>0</v>
      </c>
      <c r="C68" s="20" t="e">
        <f>VLOOKUP(B68,Sheet3!B:E,2,0)</f>
        <v>#N/A</v>
      </c>
      <c r="D68" s="20" t="e">
        <f>VLOOKUP(B68,Sheet3!B:E,3,0)</f>
        <v>#N/A</v>
      </c>
      <c r="E68" s="20" t="e">
        <f>VLOOKUP(B68,Sheet3!B:E,4,0)</f>
        <v>#N/A</v>
      </c>
      <c r="F68" s="13" t="s">
        <v>90</v>
      </c>
      <c r="G68" s="31"/>
    </row>
  </sheetData>
  <mergeCells count="12">
    <mergeCell ref="A2:G2"/>
    <mergeCell ref="A1:G1"/>
    <mergeCell ref="A5:G5"/>
    <mergeCell ref="A3:G3"/>
    <mergeCell ref="A4:G4"/>
    <mergeCell ref="A40:G40"/>
    <mergeCell ref="A6:G6"/>
    <mergeCell ref="A37:G37"/>
    <mergeCell ref="A38:G38"/>
    <mergeCell ref="A39:G39"/>
    <mergeCell ref="A35:G35"/>
    <mergeCell ref="A36:G36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orientation="portrait" r:id="rId1"/>
  <headerFooter>
    <oddFooter>&amp;L
Technical Staff Name and  Sign&amp;C
Total Present:
Total Absent:&amp;R
Invigilator Name and Sign
Invigilator Name and Sign</oddFooter>
  </headerFooter>
  <rowBreaks count="1" manualBreakCount="1">
    <brk id="34" max="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2E04-07D4-4DCE-A768-7E623103A5AA}">
  <dimension ref="A1:G57"/>
  <sheetViews>
    <sheetView zoomScaleNormal="100" workbookViewId="0">
      <selection activeCell="A7" sqref="A7"/>
    </sheetView>
  </sheetViews>
  <sheetFormatPr defaultColWidth="8.85546875" defaultRowHeight="15" x14ac:dyDescent="0.25"/>
  <cols>
    <col min="1" max="1" width="6.42578125" bestFit="1" customWidth="1"/>
    <col min="2" max="2" width="16" bestFit="1" customWidth="1"/>
    <col min="3" max="3" width="24.140625" customWidth="1"/>
    <col min="4" max="4" width="12.85546875" bestFit="1" customWidth="1"/>
    <col min="5" max="5" width="12.42578125" customWidth="1"/>
    <col min="6" max="6" width="7.85546875" bestFit="1" customWidth="1"/>
    <col min="7" max="7" width="17.140625" customWidth="1"/>
  </cols>
  <sheetData>
    <row r="1" spans="1:7" ht="20.25" x14ac:dyDescent="0.3">
      <c r="A1" s="94" t="s">
        <v>24</v>
      </c>
      <c r="B1" s="94"/>
      <c r="C1" s="94"/>
      <c r="D1" s="94"/>
      <c r="E1" s="94"/>
      <c r="F1" s="94"/>
      <c r="G1" s="94"/>
    </row>
    <row r="2" spans="1:7" ht="20.25" x14ac:dyDescent="0.3">
      <c r="A2" s="94" t="s">
        <v>25</v>
      </c>
      <c r="B2" s="94"/>
      <c r="C2" s="94"/>
      <c r="D2" s="94"/>
      <c r="E2" s="94"/>
      <c r="F2" s="94"/>
      <c r="G2" s="94"/>
    </row>
    <row r="3" spans="1:7" x14ac:dyDescent="0.25">
      <c r="A3" s="82" t="s">
        <v>20</v>
      </c>
      <c r="B3" s="82"/>
      <c r="C3" s="82"/>
      <c r="D3" s="82"/>
      <c r="E3" s="82"/>
      <c r="F3" s="82"/>
      <c r="G3" s="82"/>
    </row>
    <row r="4" spans="1:7" x14ac:dyDescent="0.25">
      <c r="A4" s="82" t="s">
        <v>21</v>
      </c>
      <c r="B4" s="82"/>
      <c r="C4" s="82"/>
      <c r="D4" s="82"/>
      <c r="E4" s="82"/>
      <c r="F4" s="82"/>
      <c r="G4" s="82"/>
    </row>
    <row r="5" spans="1:7" x14ac:dyDescent="0.25">
      <c r="A5" s="83" t="s">
        <v>100</v>
      </c>
      <c r="B5" s="82"/>
      <c r="C5" s="82"/>
      <c r="D5" s="82"/>
      <c r="E5" s="82"/>
      <c r="F5" s="82"/>
      <c r="G5" s="82"/>
    </row>
    <row r="6" spans="1:7" x14ac:dyDescent="0.25">
      <c r="A6" s="82" t="s">
        <v>0</v>
      </c>
      <c r="B6" s="82"/>
      <c r="C6" s="82"/>
      <c r="D6" s="82"/>
      <c r="E6" s="82"/>
      <c r="F6" s="82"/>
      <c r="G6" s="82"/>
    </row>
    <row r="7" spans="1:7" x14ac:dyDescent="0.25">
      <c r="A7" s="2" t="s">
        <v>156</v>
      </c>
      <c r="B7" s="1"/>
      <c r="C7" s="18" t="e">
        <f>VLOOKUP(D10,Sheet3!G:H,2,0)</f>
        <v>#REF!</v>
      </c>
      <c r="D7" s="1"/>
      <c r="E7" s="1"/>
      <c r="F7" s="1"/>
      <c r="G7" s="10" t="str">
        <f>'Seating Plan'!D$3</f>
        <v>08.04.2026</v>
      </c>
    </row>
    <row r="8" spans="1:7" x14ac:dyDescent="0.25">
      <c r="A8" s="1"/>
      <c r="B8" s="1"/>
      <c r="C8" s="1"/>
      <c r="D8" s="1"/>
      <c r="E8" s="1"/>
      <c r="F8" s="1"/>
      <c r="G8" s="10" t="str">
        <f>'Seating Plan'!G$4</f>
        <v>Shift:I (10:00 to 11:00 AM)</v>
      </c>
    </row>
    <row r="9" spans="1:7" s="35" customFormat="1" ht="23.1" customHeight="1" x14ac:dyDescent="0.25">
      <c r="A9" s="33" t="s">
        <v>1</v>
      </c>
      <c r="B9" s="33" t="s">
        <v>3</v>
      </c>
      <c r="C9" s="33" t="s">
        <v>2</v>
      </c>
      <c r="D9" s="33" t="s">
        <v>19</v>
      </c>
      <c r="E9" s="33" t="s">
        <v>4</v>
      </c>
      <c r="F9" s="33" t="s">
        <v>18</v>
      </c>
      <c r="G9" s="33" t="s">
        <v>5</v>
      </c>
    </row>
    <row r="10" spans="1:7" ht="23.1" customHeight="1" x14ac:dyDescent="0.25">
      <c r="A10" s="3"/>
      <c r="B10" s="68" t="e">
        <f>'Seating Plan'!#REF!</f>
        <v>#REF!</v>
      </c>
      <c r="C10" s="20" t="e">
        <f>VLOOKUP(B10,Sheet3!B:E,2,0)</f>
        <v>#REF!</v>
      </c>
      <c r="D10" s="20" t="e">
        <f>VLOOKUP(B10,Sheet3!B:E,3,0)</f>
        <v>#REF!</v>
      </c>
      <c r="E10" s="20" t="e">
        <f>VLOOKUP(B10,Sheet3!B:E,4,0)</f>
        <v>#REF!</v>
      </c>
      <c r="F10" s="11" t="s">
        <v>32</v>
      </c>
      <c r="G10" s="4"/>
    </row>
    <row r="11" spans="1:7" ht="23.1" customHeight="1" x14ac:dyDescent="0.25">
      <c r="A11" s="3"/>
      <c r="B11" s="68">
        <f>'Seating Plan'!F46</f>
        <v>0</v>
      </c>
      <c r="C11" s="20" t="e">
        <f>VLOOKUP(B11,Sheet3!B:E,2,0)</f>
        <v>#N/A</v>
      </c>
      <c r="D11" s="20" t="e">
        <f>VLOOKUP(B11,Sheet3!B:E,3,0)</f>
        <v>#N/A</v>
      </c>
      <c r="E11" s="20" t="e">
        <f>VLOOKUP(B11,Sheet3!B:E,4,0)</f>
        <v>#N/A</v>
      </c>
      <c r="F11" s="11" t="s">
        <v>33</v>
      </c>
      <c r="G11" s="4"/>
    </row>
    <row r="12" spans="1:7" ht="23.1" customHeight="1" x14ac:dyDescent="0.25">
      <c r="A12" s="3"/>
      <c r="B12" s="68">
        <f>'Seating Plan'!F47</f>
        <v>0</v>
      </c>
      <c r="C12" s="20" t="e">
        <f>VLOOKUP(B12,Sheet3!B:E,2,0)</f>
        <v>#N/A</v>
      </c>
      <c r="D12" s="20" t="e">
        <f>VLOOKUP(B12,Sheet3!B:E,3,0)</f>
        <v>#N/A</v>
      </c>
      <c r="E12" s="20" t="e">
        <f>VLOOKUP(B12,Sheet3!B:E,4,0)</f>
        <v>#N/A</v>
      </c>
      <c r="F12" s="11" t="s">
        <v>34</v>
      </c>
      <c r="G12" s="4"/>
    </row>
    <row r="13" spans="1:7" ht="23.1" customHeight="1" x14ac:dyDescent="0.25">
      <c r="A13" s="3"/>
      <c r="B13" s="68">
        <f>'Seating Plan'!F48</f>
        <v>0</v>
      </c>
      <c r="C13" s="20" t="e">
        <f>VLOOKUP(B13,Sheet3!B:E,2,0)</f>
        <v>#N/A</v>
      </c>
      <c r="D13" s="20" t="e">
        <f>VLOOKUP(B13,Sheet3!B:E,3,0)</f>
        <v>#N/A</v>
      </c>
      <c r="E13" s="20" t="e">
        <f>VLOOKUP(B13,Sheet3!B:E,4,0)</f>
        <v>#N/A</v>
      </c>
      <c r="F13" s="11" t="s">
        <v>35</v>
      </c>
      <c r="G13" s="4"/>
    </row>
    <row r="14" spans="1:7" ht="23.1" customHeight="1" x14ac:dyDescent="0.25">
      <c r="A14" s="3"/>
      <c r="B14" s="68">
        <f>'Seating Plan'!F49</f>
        <v>0</v>
      </c>
      <c r="C14" s="20" t="e">
        <f>VLOOKUP(B14,Sheet3!B:E,2,0)</f>
        <v>#N/A</v>
      </c>
      <c r="D14" s="20" t="e">
        <f>VLOOKUP(B14,Sheet3!B:E,3,0)</f>
        <v>#N/A</v>
      </c>
      <c r="E14" s="20" t="e">
        <f>VLOOKUP(B14,Sheet3!B:E,4,0)</f>
        <v>#N/A</v>
      </c>
      <c r="F14" s="11" t="s">
        <v>36</v>
      </c>
      <c r="G14" s="4"/>
    </row>
    <row r="15" spans="1:7" ht="23.1" customHeight="1" x14ac:dyDescent="0.25">
      <c r="A15" s="3"/>
      <c r="B15" s="68">
        <f>'Seating Plan'!F50</f>
        <v>0</v>
      </c>
      <c r="C15" s="20" t="e">
        <f>VLOOKUP(B15,Sheet3!B:E,2,0)</f>
        <v>#N/A</v>
      </c>
      <c r="D15" s="20" t="e">
        <f>VLOOKUP(B15,Sheet3!B:E,3,0)</f>
        <v>#N/A</v>
      </c>
      <c r="E15" s="20" t="e">
        <f>VLOOKUP(B15,Sheet3!B:E,4,0)</f>
        <v>#N/A</v>
      </c>
      <c r="F15" s="11" t="s">
        <v>37</v>
      </c>
      <c r="G15" s="4"/>
    </row>
    <row r="16" spans="1:7" ht="23.1" customHeight="1" x14ac:dyDescent="0.25">
      <c r="A16" s="3"/>
      <c r="B16" s="68">
        <f>'Seating Plan'!F51</f>
        <v>0</v>
      </c>
      <c r="C16" s="20" t="e">
        <f>VLOOKUP(B16,Sheet3!B:E,2,0)</f>
        <v>#N/A</v>
      </c>
      <c r="D16" s="20" t="e">
        <f>VLOOKUP(B16,Sheet3!B:E,3,0)</f>
        <v>#N/A</v>
      </c>
      <c r="E16" s="20" t="e">
        <f>VLOOKUP(B16,Sheet3!B:E,4,0)</f>
        <v>#N/A</v>
      </c>
      <c r="F16" s="11" t="s">
        <v>38</v>
      </c>
      <c r="G16" s="4"/>
    </row>
    <row r="17" spans="1:7" ht="23.1" customHeight="1" x14ac:dyDescent="0.25">
      <c r="A17" s="3"/>
      <c r="B17" s="68">
        <f>'Seating Plan'!F52</f>
        <v>0</v>
      </c>
      <c r="C17" s="20" t="e">
        <f>VLOOKUP(B17,Sheet3!B:E,2,0)</f>
        <v>#N/A</v>
      </c>
      <c r="D17" s="20" t="e">
        <f>VLOOKUP(B17,Sheet3!B:E,3,0)</f>
        <v>#N/A</v>
      </c>
      <c r="E17" s="20" t="e">
        <f>VLOOKUP(B17,Sheet3!B:E,4,0)</f>
        <v>#N/A</v>
      </c>
      <c r="F17" s="11" t="s">
        <v>39</v>
      </c>
      <c r="G17" s="4"/>
    </row>
    <row r="18" spans="1:7" ht="23.1" customHeight="1" x14ac:dyDescent="0.25">
      <c r="A18" s="3"/>
      <c r="B18" s="68">
        <f>'Seating Plan'!F53</f>
        <v>0</v>
      </c>
      <c r="C18" s="20" t="e">
        <f>VLOOKUP(B18,Sheet3!B:E,2,0)</f>
        <v>#N/A</v>
      </c>
      <c r="D18" s="20" t="e">
        <f>VLOOKUP(B18,Sheet3!B:E,3,0)</f>
        <v>#N/A</v>
      </c>
      <c r="E18" s="20" t="e">
        <f>VLOOKUP(B18,Sheet3!B:E,4,0)</f>
        <v>#N/A</v>
      </c>
      <c r="F18" s="11" t="s">
        <v>40</v>
      </c>
      <c r="G18" s="4"/>
    </row>
    <row r="19" spans="1:7" ht="23.1" customHeight="1" x14ac:dyDescent="0.25">
      <c r="A19" s="3"/>
      <c r="B19" s="68">
        <f>'Seating Plan'!F54</f>
        <v>0</v>
      </c>
      <c r="C19" s="20" t="e">
        <f>VLOOKUP(B19,Sheet3!B:E,2,0)</f>
        <v>#N/A</v>
      </c>
      <c r="D19" s="20" t="e">
        <f>VLOOKUP(B19,Sheet3!B:E,3,0)</f>
        <v>#N/A</v>
      </c>
      <c r="E19" s="20" t="e">
        <f>VLOOKUP(B19,Sheet3!B:E,4,0)</f>
        <v>#N/A</v>
      </c>
      <c r="F19" s="11" t="s">
        <v>41</v>
      </c>
      <c r="G19" s="4"/>
    </row>
    <row r="20" spans="1:7" ht="23.1" customHeight="1" x14ac:dyDescent="0.25">
      <c r="A20" s="3"/>
      <c r="B20" s="68">
        <f>'Seating Plan'!F55</f>
        <v>0</v>
      </c>
      <c r="C20" s="20" t="e">
        <f>VLOOKUP(B20,Sheet3!B:E,2,0)</f>
        <v>#N/A</v>
      </c>
      <c r="D20" s="20" t="e">
        <f>VLOOKUP(B20,Sheet3!B:E,3,0)</f>
        <v>#N/A</v>
      </c>
      <c r="E20" s="20" t="e">
        <f>VLOOKUP(B20,Sheet3!B:E,4,0)</f>
        <v>#N/A</v>
      </c>
      <c r="F20" s="11" t="s">
        <v>42</v>
      </c>
      <c r="G20" s="4"/>
    </row>
    <row r="21" spans="1:7" ht="23.1" customHeight="1" x14ac:dyDescent="0.25">
      <c r="A21" s="3"/>
      <c r="B21" s="68">
        <f>'Seating Plan'!F56</f>
        <v>0</v>
      </c>
      <c r="C21" s="20" t="e">
        <f>VLOOKUP(B21,Sheet3!B:E,2,0)</f>
        <v>#N/A</v>
      </c>
      <c r="D21" s="20" t="e">
        <f>VLOOKUP(B21,Sheet3!B:E,3,0)</f>
        <v>#N/A</v>
      </c>
      <c r="E21" s="20" t="e">
        <f>VLOOKUP(B21,Sheet3!B:E,4,0)</f>
        <v>#N/A</v>
      </c>
      <c r="F21" s="11" t="s">
        <v>43</v>
      </c>
      <c r="G21" s="4"/>
    </row>
    <row r="22" spans="1:7" ht="23.1" customHeight="1" x14ac:dyDescent="0.25">
      <c r="A22" s="3"/>
      <c r="B22" s="68">
        <f>'Seating Plan'!F57</f>
        <v>0</v>
      </c>
      <c r="C22" s="20" t="e">
        <f>VLOOKUP(B22,Sheet3!B:E,2,0)</f>
        <v>#N/A</v>
      </c>
      <c r="D22" s="20" t="e">
        <f>VLOOKUP(B22,Sheet3!B:E,3,0)</f>
        <v>#N/A</v>
      </c>
      <c r="E22" s="20" t="e">
        <f>VLOOKUP(B22,Sheet3!B:E,4,0)</f>
        <v>#N/A</v>
      </c>
      <c r="F22" s="11" t="s">
        <v>44</v>
      </c>
      <c r="G22" s="4"/>
    </row>
    <row r="23" spans="1:7" ht="23.1" customHeight="1" x14ac:dyDescent="0.25">
      <c r="A23" s="3"/>
      <c r="B23" s="68">
        <f>'Seating Plan'!F58</f>
        <v>0</v>
      </c>
      <c r="C23" s="20" t="e">
        <f>VLOOKUP(B23,Sheet3!B:E,2,0)</f>
        <v>#N/A</v>
      </c>
      <c r="D23" s="20" t="e">
        <f>VLOOKUP(B23,Sheet3!B:E,3,0)</f>
        <v>#N/A</v>
      </c>
      <c r="E23" s="20" t="e">
        <f>VLOOKUP(B23,Sheet3!B:E,4,0)</f>
        <v>#N/A</v>
      </c>
      <c r="F23" s="11" t="s">
        <v>45</v>
      </c>
      <c r="G23" s="4"/>
    </row>
    <row r="24" spans="1:7" ht="23.1" customHeight="1" x14ac:dyDescent="0.25">
      <c r="A24" s="3"/>
      <c r="B24" s="68">
        <f>'Seating Plan'!F59</f>
        <v>0</v>
      </c>
      <c r="C24" s="20" t="e">
        <f>VLOOKUP(B24,Sheet3!B:E,2,0)</f>
        <v>#N/A</v>
      </c>
      <c r="D24" s="20" t="e">
        <f>VLOOKUP(B24,Sheet3!B:E,3,0)</f>
        <v>#N/A</v>
      </c>
      <c r="E24" s="20" t="e">
        <f>VLOOKUP(B24,Sheet3!B:E,4,0)</f>
        <v>#N/A</v>
      </c>
      <c r="F24" s="11" t="s">
        <v>62</v>
      </c>
      <c r="G24" s="4"/>
    </row>
    <row r="25" spans="1:7" ht="23.1" customHeight="1" x14ac:dyDescent="0.25">
      <c r="A25" s="3"/>
      <c r="B25" s="68">
        <f>'Seating Plan'!F60</f>
        <v>0</v>
      </c>
      <c r="C25" s="20" t="e">
        <f>VLOOKUP(B25,Sheet3!B:E,2,0)</f>
        <v>#N/A</v>
      </c>
      <c r="D25" s="20" t="e">
        <f>VLOOKUP(B25,Sheet3!B:E,3,0)</f>
        <v>#N/A</v>
      </c>
      <c r="E25" s="20" t="e">
        <f>VLOOKUP(B25,Sheet3!B:E,4,0)</f>
        <v>#N/A</v>
      </c>
      <c r="F25" s="11" t="s">
        <v>63</v>
      </c>
      <c r="G25" s="4"/>
    </row>
    <row r="26" spans="1:7" ht="23.1" customHeight="1" x14ac:dyDescent="0.25">
      <c r="A26" s="3"/>
      <c r="B26" s="68">
        <f>'Seating Plan'!F61</f>
        <v>0</v>
      </c>
      <c r="C26" s="20" t="e">
        <f>VLOOKUP(B26,Sheet3!B:E,2,0)</f>
        <v>#N/A</v>
      </c>
      <c r="D26" s="20" t="e">
        <f>VLOOKUP(B26,Sheet3!B:E,3,0)</f>
        <v>#N/A</v>
      </c>
      <c r="E26" s="20" t="e">
        <f>VLOOKUP(B26,Sheet3!B:E,4,0)</f>
        <v>#N/A</v>
      </c>
      <c r="F26" s="11" t="s">
        <v>64</v>
      </c>
      <c r="G26" s="4"/>
    </row>
    <row r="27" spans="1:7" ht="23.1" customHeight="1" x14ac:dyDescent="0.25">
      <c r="A27" s="3"/>
      <c r="B27" s="68">
        <f>'Seating Plan'!F62</f>
        <v>0</v>
      </c>
      <c r="C27" s="20" t="e">
        <f>VLOOKUP(B27,Sheet3!B:E,2,0)</f>
        <v>#N/A</v>
      </c>
      <c r="D27" s="20" t="e">
        <f>VLOOKUP(B27,Sheet3!B:E,3,0)</f>
        <v>#N/A</v>
      </c>
      <c r="E27" s="20" t="e">
        <f>VLOOKUP(B27,Sheet3!B:E,4,0)</f>
        <v>#N/A</v>
      </c>
      <c r="F27" s="11" t="s">
        <v>65</v>
      </c>
      <c r="G27" s="20"/>
    </row>
    <row r="30" spans="1:7" ht="20.25" x14ac:dyDescent="0.3">
      <c r="A30" s="94" t="s">
        <v>24</v>
      </c>
      <c r="B30" s="94"/>
      <c r="C30" s="94"/>
      <c r="D30" s="94"/>
      <c r="E30" s="94"/>
      <c r="F30" s="94"/>
      <c r="G30" s="94"/>
    </row>
    <row r="31" spans="1:7" ht="20.25" x14ac:dyDescent="0.3">
      <c r="A31" s="94" t="s">
        <v>25</v>
      </c>
      <c r="B31" s="94"/>
      <c r="C31" s="94"/>
      <c r="D31" s="94"/>
      <c r="E31" s="94"/>
      <c r="F31" s="94"/>
      <c r="G31" s="94"/>
    </row>
    <row r="32" spans="1:7" x14ac:dyDescent="0.25">
      <c r="A32" s="82" t="s">
        <v>20</v>
      </c>
      <c r="B32" s="82"/>
      <c r="C32" s="82"/>
      <c r="D32" s="82"/>
      <c r="E32" s="82"/>
      <c r="F32" s="82"/>
      <c r="G32" s="82"/>
    </row>
    <row r="33" spans="1:7" x14ac:dyDescent="0.25">
      <c r="A33" s="82" t="s">
        <v>21</v>
      </c>
      <c r="B33" s="82"/>
      <c r="C33" s="82"/>
      <c r="D33" s="82"/>
      <c r="E33" s="82"/>
      <c r="F33" s="82"/>
      <c r="G33" s="82"/>
    </row>
    <row r="34" spans="1:7" x14ac:dyDescent="0.25">
      <c r="A34" s="83" t="s">
        <v>100</v>
      </c>
      <c r="B34" s="82"/>
      <c r="C34" s="82"/>
      <c r="D34" s="82"/>
      <c r="E34" s="82"/>
      <c r="F34" s="82"/>
      <c r="G34" s="82"/>
    </row>
    <row r="35" spans="1:7" x14ac:dyDescent="0.25">
      <c r="A35" s="82" t="s">
        <v>0</v>
      </c>
      <c r="B35" s="82"/>
      <c r="C35" s="82"/>
      <c r="D35" s="82"/>
      <c r="E35" s="82"/>
      <c r="F35" s="82"/>
      <c r="G35" s="82"/>
    </row>
    <row r="36" spans="1:7" x14ac:dyDescent="0.25">
      <c r="A36" s="2" t="s">
        <v>156</v>
      </c>
      <c r="B36" s="1"/>
      <c r="C36" s="18" t="e">
        <f>VLOOKUP(D39,Sheet3!G:H,2,0)</f>
        <v>#REF!</v>
      </c>
      <c r="D36" s="1"/>
      <c r="E36" s="1"/>
      <c r="F36" s="1"/>
      <c r="G36" s="10" t="str">
        <f>'Seating Plan'!D$3</f>
        <v>08.04.2026</v>
      </c>
    </row>
    <row r="37" spans="1:7" x14ac:dyDescent="0.25">
      <c r="A37" s="1"/>
      <c r="B37" s="1"/>
      <c r="C37" s="1"/>
      <c r="D37" s="1"/>
      <c r="E37" s="1"/>
      <c r="F37" s="1"/>
      <c r="G37" s="10" t="str">
        <f>'Seating Plan'!G$4</f>
        <v>Shift:I (10:00 to 11:00 AM)</v>
      </c>
    </row>
    <row r="38" spans="1:7" s="35" customFormat="1" ht="23.1" customHeight="1" x14ac:dyDescent="0.25">
      <c r="A38" s="33" t="s">
        <v>1</v>
      </c>
      <c r="B38" s="33" t="s">
        <v>3</v>
      </c>
      <c r="C38" s="33" t="s">
        <v>2</v>
      </c>
      <c r="D38" s="33" t="s">
        <v>19</v>
      </c>
      <c r="E38" s="33" t="s">
        <v>4</v>
      </c>
      <c r="F38" s="33" t="s">
        <v>18</v>
      </c>
      <c r="G38" s="33" t="s">
        <v>5</v>
      </c>
    </row>
    <row r="39" spans="1:7" ht="23.1" customHeight="1" x14ac:dyDescent="0.25">
      <c r="A39" s="28"/>
      <c r="B39" s="68" t="e">
        <f>'Seating Plan'!#REF!</f>
        <v>#REF!</v>
      </c>
      <c r="C39" s="20" t="e">
        <f>VLOOKUP(B39,Sheet3!B:E,2,0)</f>
        <v>#REF!</v>
      </c>
      <c r="D39" s="20" t="e">
        <f>VLOOKUP(B39,Sheet3!B:E,3,0)</f>
        <v>#REF!</v>
      </c>
      <c r="E39" s="20" t="e">
        <f>VLOOKUP(B39,Sheet3!B:E,4,0)</f>
        <v>#REF!</v>
      </c>
      <c r="F39" s="11" t="s">
        <v>47</v>
      </c>
      <c r="G39" s="4"/>
    </row>
    <row r="40" spans="1:7" ht="23.1" customHeight="1" x14ac:dyDescent="0.25">
      <c r="A40" s="28"/>
      <c r="B40" s="68">
        <f>'Seating Plan'!H46</f>
        <v>0</v>
      </c>
      <c r="C40" s="20" t="e">
        <f>VLOOKUP(B40,Sheet3!B:E,2,0)</f>
        <v>#N/A</v>
      </c>
      <c r="D40" s="20" t="e">
        <f>VLOOKUP(B40,Sheet3!B:E,3,0)</f>
        <v>#N/A</v>
      </c>
      <c r="E40" s="20" t="e">
        <f>VLOOKUP(B40,Sheet3!B:E,4,0)</f>
        <v>#N/A</v>
      </c>
      <c r="F40" s="11" t="s">
        <v>48</v>
      </c>
      <c r="G40" s="4"/>
    </row>
    <row r="41" spans="1:7" ht="23.1" customHeight="1" x14ac:dyDescent="0.25">
      <c r="A41" s="28"/>
      <c r="B41" s="68">
        <f>'Seating Plan'!H47</f>
        <v>0</v>
      </c>
      <c r="C41" s="20" t="e">
        <f>VLOOKUP(B41,Sheet3!B:E,2,0)</f>
        <v>#N/A</v>
      </c>
      <c r="D41" s="20" t="e">
        <f>VLOOKUP(B41,Sheet3!B:E,3,0)</f>
        <v>#N/A</v>
      </c>
      <c r="E41" s="20" t="e">
        <f>VLOOKUP(B41,Sheet3!B:E,4,0)</f>
        <v>#N/A</v>
      </c>
      <c r="F41" s="11" t="s">
        <v>49</v>
      </c>
      <c r="G41" s="4"/>
    </row>
    <row r="42" spans="1:7" ht="23.1" customHeight="1" x14ac:dyDescent="0.25">
      <c r="A42" s="28"/>
      <c r="B42" s="68">
        <f>'Seating Plan'!H48</f>
        <v>0</v>
      </c>
      <c r="C42" s="20" t="e">
        <f>VLOOKUP(B42,Sheet3!B:E,2,0)</f>
        <v>#N/A</v>
      </c>
      <c r="D42" s="20" t="e">
        <f>VLOOKUP(B42,Sheet3!B:E,3,0)</f>
        <v>#N/A</v>
      </c>
      <c r="E42" s="20" t="e">
        <f>VLOOKUP(B42,Sheet3!B:E,4,0)</f>
        <v>#N/A</v>
      </c>
      <c r="F42" s="11" t="s">
        <v>50</v>
      </c>
      <c r="G42" s="4"/>
    </row>
    <row r="43" spans="1:7" ht="23.1" customHeight="1" x14ac:dyDescent="0.25">
      <c r="A43" s="28"/>
      <c r="B43" s="68">
        <f>'Seating Plan'!H49</f>
        <v>0</v>
      </c>
      <c r="C43" s="20" t="e">
        <f>VLOOKUP(B43,Sheet3!B:E,2,0)</f>
        <v>#N/A</v>
      </c>
      <c r="D43" s="20" t="e">
        <f>VLOOKUP(B43,Sheet3!B:E,3,0)</f>
        <v>#N/A</v>
      </c>
      <c r="E43" s="20" t="e">
        <f>VLOOKUP(B43,Sheet3!B:E,4,0)</f>
        <v>#N/A</v>
      </c>
      <c r="F43" s="11" t="s">
        <v>51</v>
      </c>
      <c r="G43" s="4"/>
    </row>
    <row r="44" spans="1:7" ht="23.1" customHeight="1" x14ac:dyDescent="0.25">
      <c r="A44" s="28"/>
      <c r="B44" s="68">
        <f>'Seating Plan'!H50</f>
        <v>0</v>
      </c>
      <c r="C44" s="20" t="e">
        <f>VLOOKUP(B44,Sheet3!B:E,2,0)</f>
        <v>#N/A</v>
      </c>
      <c r="D44" s="20" t="e">
        <f>VLOOKUP(B44,Sheet3!B:E,3,0)</f>
        <v>#N/A</v>
      </c>
      <c r="E44" s="20" t="e">
        <f>VLOOKUP(B44,Sheet3!B:E,4,0)</f>
        <v>#N/A</v>
      </c>
      <c r="F44" s="11" t="s">
        <v>46</v>
      </c>
      <c r="G44" s="4"/>
    </row>
    <row r="45" spans="1:7" ht="23.1" customHeight="1" x14ac:dyDescent="0.25">
      <c r="A45" s="28"/>
      <c r="B45" s="68">
        <f>'Seating Plan'!H51</f>
        <v>0</v>
      </c>
      <c r="C45" s="20" t="e">
        <f>VLOOKUP(B45,Sheet3!B:E,2,0)</f>
        <v>#N/A</v>
      </c>
      <c r="D45" s="20" t="e">
        <f>VLOOKUP(B45,Sheet3!B:E,3,0)</f>
        <v>#N/A</v>
      </c>
      <c r="E45" s="20" t="e">
        <f>VLOOKUP(B45,Sheet3!B:E,4,0)</f>
        <v>#N/A</v>
      </c>
      <c r="F45" s="11" t="s">
        <v>52</v>
      </c>
      <c r="G45" s="4"/>
    </row>
    <row r="46" spans="1:7" ht="23.1" customHeight="1" x14ac:dyDescent="0.25">
      <c r="A46" s="28"/>
      <c r="B46" s="68">
        <f>'Seating Plan'!H52</f>
        <v>0</v>
      </c>
      <c r="C46" s="20" t="e">
        <f>VLOOKUP(B46,Sheet3!B:E,2,0)</f>
        <v>#N/A</v>
      </c>
      <c r="D46" s="20" t="e">
        <f>VLOOKUP(B46,Sheet3!B:E,3,0)</f>
        <v>#N/A</v>
      </c>
      <c r="E46" s="20" t="e">
        <f>VLOOKUP(B46,Sheet3!B:E,4,0)</f>
        <v>#N/A</v>
      </c>
      <c r="F46" s="11" t="s">
        <v>53</v>
      </c>
      <c r="G46" s="4"/>
    </row>
    <row r="47" spans="1:7" ht="23.1" customHeight="1" x14ac:dyDescent="0.25">
      <c r="A47" s="28"/>
      <c r="B47" s="68">
        <f>'Seating Plan'!H53</f>
        <v>0</v>
      </c>
      <c r="C47" s="20" t="e">
        <f>VLOOKUP(B47,Sheet3!B:E,2,0)</f>
        <v>#N/A</v>
      </c>
      <c r="D47" s="20" t="e">
        <f>VLOOKUP(B47,Sheet3!B:E,3,0)</f>
        <v>#N/A</v>
      </c>
      <c r="E47" s="20" t="e">
        <f>VLOOKUP(B47,Sheet3!B:E,4,0)</f>
        <v>#N/A</v>
      </c>
      <c r="F47" s="11" t="s">
        <v>54</v>
      </c>
      <c r="G47" s="4"/>
    </row>
    <row r="48" spans="1:7" ht="23.1" customHeight="1" x14ac:dyDescent="0.25">
      <c r="A48" s="28"/>
      <c r="B48" s="68">
        <f>'Seating Plan'!H54</f>
        <v>0</v>
      </c>
      <c r="C48" s="20" t="e">
        <f>VLOOKUP(B48,Sheet3!B:E,2,0)</f>
        <v>#N/A</v>
      </c>
      <c r="D48" s="20" t="e">
        <f>VLOOKUP(B48,Sheet3!B:E,3,0)</f>
        <v>#N/A</v>
      </c>
      <c r="E48" s="20" t="e">
        <f>VLOOKUP(B48,Sheet3!B:E,4,0)</f>
        <v>#N/A</v>
      </c>
      <c r="F48" s="11" t="s">
        <v>55</v>
      </c>
      <c r="G48" s="4"/>
    </row>
    <row r="49" spans="1:7" ht="23.1" customHeight="1" x14ac:dyDescent="0.25">
      <c r="A49" s="28"/>
      <c r="B49" s="68">
        <f>'Seating Plan'!H55</f>
        <v>0</v>
      </c>
      <c r="C49" s="20" t="e">
        <f>VLOOKUP(B49,Sheet3!B:E,2,0)</f>
        <v>#N/A</v>
      </c>
      <c r="D49" s="20" t="e">
        <f>VLOOKUP(B49,Sheet3!B:E,3,0)</f>
        <v>#N/A</v>
      </c>
      <c r="E49" s="20" t="e">
        <f>VLOOKUP(B49,Sheet3!B:E,4,0)</f>
        <v>#N/A</v>
      </c>
      <c r="F49" s="11" t="s">
        <v>56</v>
      </c>
      <c r="G49" s="4"/>
    </row>
    <row r="50" spans="1:7" ht="23.1" customHeight="1" x14ac:dyDescent="0.25">
      <c r="A50" s="28"/>
      <c r="B50" s="68">
        <f>'Seating Plan'!H56</f>
        <v>0</v>
      </c>
      <c r="C50" s="20" t="e">
        <f>VLOOKUP(B50,Sheet3!B:E,2,0)</f>
        <v>#N/A</v>
      </c>
      <c r="D50" s="20" t="e">
        <f>VLOOKUP(B50,Sheet3!B:E,3,0)</f>
        <v>#N/A</v>
      </c>
      <c r="E50" s="20" t="e">
        <f>VLOOKUP(B50,Sheet3!B:E,4,0)</f>
        <v>#N/A</v>
      </c>
      <c r="F50" s="11" t="s">
        <v>57</v>
      </c>
      <c r="G50" s="4"/>
    </row>
    <row r="51" spans="1:7" ht="23.1" customHeight="1" x14ac:dyDescent="0.25">
      <c r="A51" s="28"/>
      <c r="B51" s="68">
        <f>'Seating Plan'!H57</f>
        <v>0</v>
      </c>
      <c r="C51" s="20" t="e">
        <f>VLOOKUP(B51,Sheet3!B:E,2,0)</f>
        <v>#N/A</v>
      </c>
      <c r="D51" s="20" t="e">
        <f>VLOOKUP(B51,Sheet3!B:E,3,0)</f>
        <v>#N/A</v>
      </c>
      <c r="E51" s="20" t="e">
        <f>VLOOKUP(B51,Sheet3!B:E,4,0)</f>
        <v>#N/A</v>
      </c>
      <c r="F51" s="11" t="s">
        <v>58</v>
      </c>
      <c r="G51" s="4"/>
    </row>
    <row r="52" spans="1:7" ht="23.1" customHeight="1" x14ac:dyDescent="0.25">
      <c r="A52" s="28"/>
      <c r="B52" s="68">
        <f>'Seating Plan'!H58</f>
        <v>0</v>
      </c>
      <c r="C52" s="20" t="e">
        <f>VLOOKUP(B52,Sheet3!B:E,2,0)</f>
        <v>#N/A</v>
      </c>
      <c r="D52" s="20" t="e">
        <f>VLOOKUP(B52,Sheet3!B:E,3,0)</f>
        <v>#N/A</v>
      </c>
      <c r="E52" s="20" t="e">
        <f>VLOOKUP(B52,Sheet3!B:E,4,0)</f>
        <v>#N/A</v>
      </c>
      <c r="F52" s="11" t="s">
        <v>59</v>
      </c>
      <c r="G52" s="4"/>
    </row>
    <row r="53" spans="1:7" ht="23.1" customHeight="1" x14ac:dyDescent="0.25">
      <c r="A53" s="28"/>
      <c r="B53" s="68">
        <f>'Seating Plan'!H59</f>
        <v>0</v>
      </c>
      <c r="C53" s="20" t="e">
        <f>VLOOKUP(B53,Sheet3!B:E,2,0)</f>
        <v>#N/A</v>
      </c>
      <c r="D53" s="20" t="e">
        <f>VLOOKUP(B53,Sheet3!B:E,3,0)</f>
        <v>#N/A</v>
      </c>
      <c r="E53" s="20" t="e">
        <f>VLOOKUP(B53,Sheet3!B:E,4,0)</f>
        <v>#N/A</v>
      </c>
      <c r="F53" s="11" t="s">
        <v>60</v>
      </c>
      <c r="G53" s="4"/>
    </row>
    <row r="54" spans="1:7" ht="23.1" customHeight="1" x14ac:dyDescent="0.25">
      <c r="A54" s="28"/>
      <c r="B54" s="68">
        <f>'Seating Plan'!H60</f>
        <v>0</v>
      </c>
      <c r="C54" s="20" t="e">
        <f>VLOOKUP(B54,Sheet3!B:E,2,0)</f>
        <v>#N/A</v>
      </c>
      <c r="D54" s="20" t="e">
        <f>VLOOKUP(B54,Sheet3!B:E,3,0)</f>
        <v>#N/A</v>
      </c>
      <c r="E54" s="20" t="e">
        <f>VLOOKUP(B54,Sheet3!B:E,4,0)</f>
        <v>#N/A</v>
      </c>
      <c r="F54" s="11" t="s">
        <v>61</v>
      </c>
      <c r="G54" s="4"/>
    </row>
    <row r="55" spans="1:7" ht="23.1" customHeight="1" x14ac:dyDescent="0.25">
      <c r="A55" s="28"/>
      <c r="B55" s="68">
        <f>'Seating Plan'!H61</f>
        <v>0</v>
      </c>
      <c r="C55" s="20" t="e">
        <f>VLOOKUP(B55,Sheet3!B:E,2,0)</f>
        <v>#N/A</v>
      </c>
      <c r="D55" s="20" t="e">
        <f>VLOOKUP(B55,Sheet3!B:E,3,0)</f>
        <v>#N/A</v>
      </c>
      <c r="E55" s="20" t="e">
        <f>VLOOKUP(B55,Sheet3!B:E,4,0)</f>
        <v>#N/A</v>
      </c>
      <c r="F55" s="11" t="s">
        <v>82</v>
      </c>
      <c r="G55" s="4"/>
    </row>
    <row r="56" spans="1:7" ht="23.1" hidden="1" customHeight="1" x14ac:dyDescent="0.25">
      <c r="A56" s="20"/>
      <c r="B56" s="20"/>
      <c r="C56" s="20" t="e">
        <f>VLOOKUP(B56,Sheet3!B:E,2,0)</f>
        <v>#N/A</v>
      </c>
      <c r="D56" s="20" t="e">
        <f>VLOOKUP(B56,Sheet3!B:E,3,0)</f>
        <v>#N/A</v>
      </c>
      <c r="E56" s="20"/>
      <c r="F56" s="20"/>
      <c r="G56" s="20"/>
    </row>
    <row r="57" spans="1:7" ht="23.1" hidden="1" customHeight="1" x14ac:dyDescent="0.25">
      <c r="A57" s="20"/>
      <c r="B57" s="20"/>
      <c r="C57" s="20" t="e">
        <f>VLOOKUP(B57,Sheet3!B:E,2,0)</f>
        <v>#N/A</v>
      </c>
      <c r="D57" s="20" t="e">
        <f>VLOOKUP(B57,Sheet3!B:E,3,0)</f>
        <v>#N/A</v>
      </c>
      <c r="E57" s="20"/>
      <c r="F57" s="20"/>
      <c r="G57" s="20"/>
    </row>
  </sheetData>
  <mergeCells count="12">
    <mergeCell ref="A35:G35"/>
    <mergeCell ref="A1:G1"/>
    <mergeCell ref="A2:G2"/>
    <mergeCell ref="A3:G3"/>
    <mergeCell ref="A4:G4"/>
    <mergeCell ref="A5:G5"/>
    <mergeCell ref="A6:G6"/>
    <mergeCell ref="A30:G30"/>
    <mergeCell ref="A31:G31"/>
    <mergeCell ref="A32:G32"/>
    <mergeCell ref="A33:G33"/>
    <mergeCell ref="A34:G34"/>
  </mergeCells>
  <phoneticPr fontId="10" type="noConversion"/>
  <pageMargins left="0.25" right="0.25" top="0.75" bottom="0.75" header="0.3" footer="0.3"/>
  <pageSetup orientation="portrait" r:id="rId1"/>
  <headerFooter>
    <oddFooter>&amp;L
Technical Staff Name and Sign&amp;C
 Total Present:
Total Absent:&amp;R
Invigilator Name and Sign
Invigilator Name and Sign</oddFooter>
  </headerFooter>
  <rowBreaks count="1" manualBreakCount="1">
    <brk id="29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087B-7EDC-4CCE-B9F2-894B83B55950}">
  <dimension ref="A1:I93"/>
  <sheetViews>
    <sheetView topLeftCell="A37" zoomScaleNormal="100" workbookViewId="0">
      <selection activeCell="A55" sqref="A55"/>
    </sheetView>
  </sheetViews>
  <sheetFormatPr defaultColWidth="16.28515625" defaultRowHeight="15" x14ac:dyDescent="0.25"/>
  <cols>
    <col min="1" max="1" width="6.42578125" style="1" bestFit="1" customWidth="1"/>
    <col min="2" max="2" width="15.42578125" style="1" customWidth="1"/>
    <col min="3" max="3" width="26.140625" style="1" customWidth="1"/>
    <col min="4" max="4" width="13.42578125" style="1" customWidth="1"/>
    <col min="5" max="5" width="13" style="1" customWidth="1"/>
    <col min="6" max="6" width="9.7109375" style="1" customWidth="1"/>
    <col min="7" max="7" width="14.42578125" style="1" customWidth="1"/>
    <col min="8" max="16384" width="16.28515625" style="1"/>
  </cols>
  <sheetData>
    <row r="1" spans="1:9" ht="20.25" x14ac:dyDescent="0.3">
      <c r="A1" s="94" t="s">
        <v>24</v>
      </c>
      <c r="B1" s="94"/>
      <c r="C1" s="94"/>
      <c r="D1" s="94"/>
      <c r="E1" s="94"/>
      <c r="F1" s="94"/>
      <c r="G1" s="94"/>
      <c r="H1" s="19"/>
      <c r="I1" s="19"/>
    </row>
    <row r="2" spans="1:9" ht="20.25" x14ac:dyDescent="0.3">
      <c r="A2" s="94" t="s">
        <v>25</v>
      </c>
      <c r="B2" s="94"/>
      <c r="C2" s="94"/>
      <c r="D2" s="94"/>
      <c r="E2" s="94"/>
      <c r="F2" s="94"/>
      <c r="G2" s="94"/>
      <c r="H2" s="19"/>
      <c r="I2" s="19"/>
    </row>
    <row r="3" spans="1:9" x14ac:dyDescent="0.25">
      <c r="A3" s="82" t="s">
        <v>20</v>
      </c>
      <c r="B3" s="82"/>
      <c r="C3" s="82"/>
      <c r="D3" s="82"/>
      <c r="E3" s="82"/>
      <c r="F3" s="82"/>
      <c r="G3" s="82"/>
      <c r="H3" s="2"/>
      <c r="I3" s="2"/>
    </row>
    <row r="4" spans="1:9" x14ac:dyDescent="0.25">
      <c r="A4" s="82" t="s">
        <v>21</v>
      </c>
      <c r="B4" s="82"/>
      <c r="C4" s="82"/>
      <c r="D4" s="82"/>
      <c r="E4" s="82"/>
      <c r="F4" s="82"/>
      <c r="G4" s="82"/>
      <c r="H4" s="2"/>
    </row>
    <row r="5" spans="1:9" x14ac:dyDescent="0.25">
      <c r="A5" s="95" t="s">
        <v>26</v>
      </c>
      <c r="B5" s="96"/>
      <c r="C5" s="96"/>
      <c r="D5" s="96"/>
      <c r="E5" s="96"/>
      <c r="F5" s="96"/>
      <c r="G5" s="96"/>
    </row>
    <row r="6" spans="1:9" x14ac:dyDescent="0.25">
      <c r="A6" s="96" t="s">
        <v>0</v>
      </c>
      <c r="B6" s="96"/>
      <c r="C6" s="96"/>
      <c r="D6" s="96"/>
      <c r="E6" s="96"/>
      <c r="F6" s="96"/>
      <c r="G6" s="96"/>
    </row>
    <row r="7" spans="1:9" x14ac:dyDescent="0.25">
      <c r="A7" s="2" t="s">
        <v>156</v>
      </c>
      <c r="B7" s="2"/>
      <c r="C7" s="18" t="e">
        <f>VLOOKUP(D10,Sheet3!G:H,2,0)</f>
        <v>#N/A</v>
      </c>
      <c r="G7" s="10" t="str">
        <f>'Seating Plan'!D$3</f>
        <v>08.04.2026</v>
      </c>
    </row>
    <row r="8" spans="1:9" x14ac:dyDescent="0.25">
      <c r="G8" s="10" t="str">
        <f>'Seating Plan'!G$4</f>
        <v>Shift:I (10:00 to 11:00 AM)</v>
      </c>
    </row>
    <row r="9" spans="1:9" ht="24.95" customHeight="1" x14ac:dyDescent="0.25">
      <c r="A9" s="5" t="s">
        <v>1</v>
      </c>
      <c r="B9" s="5" t="s">
        <v>3</v>
      </c>
      <c r="C9" s="5" t="s">
        <v>2</v>
      </c>
      <c r="D9" s="5" t="s">
        <v>19</v>
      </c>
      <c r="E9" s="5" t="s">
        <v>4</v>
      </c>
      <c r="F9" s="5" t="s">
        <v>18</v>
      </c>
      <c r="G9" s="5" t="s">
        <v>5</v>
      </c>
    </row>
    <row r="10" spans="1:9" ht="24.95" customHeight="1" x14ac:dyDescent="0.25">
      <c r="A10" s="3"/>
      <c r="B10" s="68">
        <f>'Seating Plan'!F63</f>
        <v>0</v>
      </c>
      <c r="C10" s="20" t="e">
        <f>VLOOKUP(B10,Sheet3!B:E,2,0)</f>
        <v>#N/A</v>
      </c>
      <c r="D10" s="20" t="e">
        <f>VLOOKUP(B10,Sheet3!B:E,3,0)</f>
        <v>#N/A</v>
      </c>
      <c r="E10" s="20" t="e">
        <f>VLOOKUP(B10,Sheet3!B:E,4,0)</f>
        <v>#N/A</v>
      </c>
      <c r="F10" s="11" t="s">
        <v>32</v>
      </c>
      <c r="G10" s="4"/>
    </row>
    <row r="11" spans="1:9" ht="24.95" customHeight="1" x14ac:dyDescent="0.25">
      <c r="A11" s="3"/>
      <c r="B11" s="68">
        <f>'Seating Plan'!F64</f>
        <v>0</v>
      </c>
      <c r="C11" s="20" t="e">
        <f>VLOOKUP(B11,Sheet3!B:E,2,0)</f>
        <v>#N/A</v>
      </c>
      <c r="D11" s="20" t="e">
        <f>VLOOKUP(B11,Sheet3!B:E,3,0)</f>
        <v>#N/A</v>
      </c>
      <c r="E11" s="20" t="e">
        <f>VLOOKUP(B11,Sheet3!B:E,4,0)</f>
        <v>#N/A</v>
      </c>
      <c r="F11" s="11" t="s">
        <v>33</v>
      </c>
      <c r="G11" s="4"/>
    </row>
    <row r="12" spans="1:9" ht="24.95" customHeight="1" x14ac:dyDescent="0.25">
      <c r="A12" s="3"/>
      <c r="B12" s="68">
        <f>'Seating Plan'!F65</f>
        <v>0</v>
      </c>
      <c r="C12" s="20" t="e">
        <f>VLOOKUP(B12,Sheet3!B:E,2,0)</f>
        <v>#N/A</v>
      </c>
      <c r="D12" s="20" t="e">
        <f>VLOOKUP(B12,Sheet3!B:E,3,0)</f>
        <v>#N/A</v>
      </c>
      <c r="E12" s="20" t="e">
        <f>VLOOKUP(B12,Sheet3!B:E,4,0)</f>
        <v>#N/A</v>
      </c>
      <c r="F12" s="11" t="s">
        <v>34</v>
      </c>
      <c r="G12" s="4"/>
    </row>
    <row r="13" spans="1:9" ht="24.95" customHeight="1" x14ac:dyDescent="0.25">
      <c r="A13" s="3"/>
      <c r="B13" s="68">
        <f>'Seating Plan'!F66</f>
        <v>0</v>
      </c>
      <c r="C13" s="20" t="e">
        <f>VLOOKUP(B13,Sheet3!B:E,2,0)</f>
        <v>#N/A</v>
      </c>
      <c r="D13" s="20" t="e">
        <f>VLOOKUP(B13,Sheet3!B:E,3,0)</f>
        <v>#N/A</v>
      </c>
      <c r="E13" s="20" t="e">
        <f>VLOOKUP(B13,Sheet3!B:E,4,0)</f>
        <v>#N/A</v>
      </c>
      <c r="F13" s="11" t="s">
        <v>35</v>
      </c>
      <c r="G13" s="4"/>
    </row>
    <row r="14" spans="1:9" ht="24.95" customHeight="1" x14ac:dyDescent="0.25">
      <c r="A14" s="3"/>
      <c r="B14" s="68">
        <f>'Seating Plan'!F67</f>
        <v>0</v>
      </c>
      <c r="C14" s="20" t="e">
        <f>VLOOKUP(B14,Sheet3!B:E,2,0)</f>
        <v>#N/A</v>
      </c>
      <c r="D14" s="20" t="e">
        <f>VLOOKUP(B14,Sheet3!B:E,3,0)</f>
        <v>#N/A</v>
      </c>
      <c r="E14" s="20" t="e">
        <f>VLOOKUP(B14,Sheet3!B:E,4,0)</f>
        <v>#N/A</v>
      </c>
      <c r="F14" s="11" t="s">
        <v>36</v>
      </c>
      <c r="G14" s="4"/>
    </row>
    <row r="15" spans="1:9" ht="24.95" customHeight="1" x14ac:dyDescent="0.25">
      <c r="A15" s="3"/>
      <c r="B15" s="68">
        <f>'Seating Plan'!F68</f>
        <v>0</v>
      </c>
      <c r="C15" s="20" t="e">
        <f>VLOOKUP(B15,Sheet3!B:E,2,0)</f>
        <v>#N/A</v>
      </c>
      <c r="D15" s="20" t="e">
        <f>VLOOKUP(B15,Sheet3!B:E,3,0)</f>
        <v>#N/A</v>
      </c>
      <c r="E15" s="20" t="e">
        <f>VLOOKUP(B15,Sheet3!B:E,4,0)</f>
        <v>#N/A</v>
      </c>
      <c r="F15" s="11" t="s">
        <v>37</v>
      </c>
      <c r="G15" s="4"/>
    </row>
    <row r="16" spans="1:9" ht="24.95" customHeight="1" x14ac:dyDescent="0.25">
      <c r="A16" s="3"/>
      <c r="B16" s="68">
        <f>'Seating Plan'!F69</f>
        <v>0</v>
      </c>
      <c r="C16" s="20" t="e">
        <f>VLOOKUP(B16,Sheet3!B:E,2,0)</f>
        <v>#N/A</v>
      </c>
      <c r="D16" s="20" t="e">
        <f>VLOOKUP(B16,Sheet3!B:E,3,0)</f>
        <v>#N/A</v>
      </c>
      <c r="E16" s="20" t="e">
        <f>VLOOKUP(B16,Sheet3!B:E,4,0)</f>
        <v>#N/A</v>
      </c>
      <c r="F16" s="11" t="s">
        <v>38</v>
      </c>
      <c r="G16" s="4"/>
    </row>
    <row r="17" spans="1:7" ht="24.95" customHeight="1" x14ac:dyDescent="0.25">
      <c r="A17" s="3"/>
      <c r="B17" s="68">
        <f>'Seating Plan'!F70</f>
        <v>0</v>
      </c>
      <c r="C17" s="20" t="e">
        <f>VLOOKUP(B17,Sheet3!B:E,2,0)</f>
        <v>#N/A</v>
      </c>
      <c r="D17" s="20" t="e">
        <f>VLOOKUP(B17,Sheet3!B:E,3,0)</f>
        <v>#N/A</v>
      </c>
      <c r="E17" s="20" t="e">
        <f>VLOOKUP(B17,Sheet3!B:E,4,0)</f>
        <v>#N/A</v>
      </c>
      <c r="F17" s="11" t="s">
        <v>39</v>
      </c>
      <c r="G17" s="4"/>
    </row>
    <row r="18" spans="1:7" ht="24.95" customHeight="1" x14ac:dyDescent="0.25">
      <c r="A18" s="3"/>
      <c r="B18" s="68">
        <f>'Seating Plan'!F71</f>
        <v>0</v>
      </c>
      <c r="C18" s="20" t="e">
        <f>VLOOKUP(B18,Sheet3!B:E,2,0)</f>
        <v>#N/A</v>
      </c>
      <c r="D18" s="20" t="e">
        <f>VLOOKUP(B18,Sheet3!B:E,3,0)</f>
        <v>#N/A</v>
      </c>
      <c r="E18" s="20" t="e">
        <f>VLOOKUP(B18,Sheet3!B:E,4,0)</f>
        <v>#N/A</v>
      </c>
      <c r="F18" s="11" t="s">
        <v>40</v>
      </c>
      <c r="G18" s="4"/>
    </row>
    <row r="19" spans="1:7" ht="24.95" customHeight="1" x14ac:dyDescent="0.25">
      <c r="A19" s="3"/>
      <c r="B19" s="68">
        <f>'Seating Plan'!F72</f>
        <v>0</v>
      </c>
      <c r="C19" s="20" t="e">
        <f>VLOOKUP(B19,Sheet3!B:E,2,0)</f>
        <v>#N/A</v>
      </c>
      <c r="D19" s="20" t="e">
        <f>VLOOKUP(B19,Sheet3!B:E,3,0)</f>
        <v>#N/A</v>
      </c>
      <c r="E19" s="20" t="e">
        <f>VLOOKUP(B19,Sheet3!B:E,4,0)</f>
        <v>#N/A</v>
      </c>
      <c r="F19" s="11" t="s">
        <v>41</v>
      </c>
      <c r="G19" s="4"/>
    </row>
    <row r="20" spans="1:7" ht="24.95" customHeight="1" x14ac:dyDescent="0.25">
      <c r="A20" s="3"/>
      <c r="B20" s="68">
        <f>'Seating Plan'!F73</f>
        <v>0</v>
      </c>
      <c r="C20" s="20" t="e">
        <f>VLOOKUP(B20,Sheet3!B:E,2,0)</f>
        <v>#N/A</v>
      </c>
      <c r="D20" s="20" t="e">
        <f>VLOOKUP(B20,Sheet3!B:E,3,0)</f>
        <v>#N/A</v>
      </c>
      <c r="E20" s="20" t="e">
        <f>VLOOKUP(B20,Sheet3!B:E,4,0)</f>
        <v>#N/A</v>
      </c>
      <c r="F20" s="11" t="s">
        <v>42</v>
      </c>
      <c r="G20" s="4"/>
    </row>
    <row r="21" spans="1:7" ht="24.95" customHeight="1" x14ac:dyDescent="0.25">
      <c r="A21" s="3"/>
      <c r="B21" s="68">
        <f>'Seating Plan'!F74</f>
        <v>0</v>
      </c>
      <c r="C21" s="20" t="e">
        <f>VLOOKUP(B21,Sheet3!B:E,2,0)</f>
        <v>#N/A</v>
      </c>
      <c r="D21" s="20" t="e">
        <f>VLOOKUP(B21,Sheet3!B:E,3,0)</f>
        <v>#N/A</v>
      </c>
      <c r="E21" s="20" t="e">
        <f>VLOOKUP(B21,Sheet3!B:E,4,0)</f>
        <v>#N/A</v>
      </c>
      <c r="F21" s="11" t="s">
        <v>43</v>
      </c>
      <c r="G21" s="4"/>
    </row>
    <row r="22" spans="1:7" ht="24.95" customHeight="1" x14ac:dyDescent="0.25">
      <c r="A22" s="3"/>
      <c r="B22" s="68">
        <f>'Seating Plan'!F75</f>
        <v>0</v>
      </c>
      <c r="C22" s="20" t="e">
        <f>VLOOKUP(B22,Sheet3!B:E,2,0)</f>
        <v>#N/A</v>
      </c>
      <c r="D22" s="20" t="e">
        <f>VLOOKUP(B22,Sheet3!B:E,3,0)</f>
        <v>#N/A</v>
      </c>
      <c r="E22" s="20" t="e">
        <f>VLOOKUP(B22,Sheet3!B:E,4,0)</f>
        <v>#N/A</v>
      </c>
      <c r="F22" s="11" t="s">
        <v>44</v>
      </c>
      <c r="G22" s="4"/>
    </row>
    <row r="23" spans="1:7" ht="24.95" customHeight="1" x14ac:dyDescent="0.25">
      <c r="A23" s="3"/>
      <c r="B23" s="68">
        <f>'Seating Plan'!F76</f>
        <v>0</v>
      </c>
      <c r="C23" s="20" t="e">
        <f>VLOOKUP(B23,Sheet3!B:E,2,0)</f>
        <v>#N/A</v>
      </c>
      <c r="D23" s="20" t="e">
        <f>VLOOKUP(B23,Sheet3!B:E,3,0)</f>
        <v>#N/A</v>
      </c>
      <c r="E23" s="20" t="e">
        <f>VLOOKUP(B23,Sheet3!B:E,4,0)</f>
        <v>#N/A</v>
      </c>
      <c r="F23" s="11" t="s">
        <v>45</v>
      </c>
      <c r="G23" s="4"/>
    </row>
    <row r="24" spans="1:7" ht="24.95" customHeight="1" x14ac:dyDescent="0.25">
      <c r="A24" s="3"/>
      <c r="B24" s="68">
        <f>'Seating Plan'!F77</f>
        <v>0</v>
      </c>
      <c r="C24" s="20" t="e">
        <f>VLOOKUP(B24,Sheet3!B:E,2,0)</f>
        <v>#N/A</v>
      </c>
      <c r="D24" s="20" t="e">
        <f>VLOOKUP(B24,Sheet3!B:E,3,0)</f>
        <v>#N/A</v>
      </c>
      <c r="E24" s="20" t="e">
        <f>VLOOKUP(B24,Sheet3!B:E,4,0)</f>
        <v>#N/A</v>
      </c>
      <c r="F24" s="11" t="s">
        <v>62</v>
      </c>
      <c r="G24" s="4"/>
    </row>
    <row r="25" spans="1:7" ht="24.95" customHeight="1" x14ac:dyDescent="0.25">
      <c r="A25" s="3"/>
      <c r="B25" s="68">
        <f>'Seating Plan'!F78</f>
        <v>0</v>
      </c>
      <c r="C25" s="20" t="e">
        <f>VLOOKUP(B25,Sheet3!B:E,2,0)</f>
        <v>#N/A</v>
      </c>
      <c r="D25" s="20" t="e">
        <f>VLOOKUP(B25,Sheet3!B:E,3,0)</f>
        <v>#N/A</v>
      </c>
      <c r="E25" s="20" t="e">
        <f>VLOOKUP(B25,Sheet3!B:E,4,0)</f>
        <v>#N/A</v>
      </c>
      <c r="F25" s="11" t="s">
        <v>63</v>
      </c>
      <c r="G25" s="4"/>
    </row>
    <row r="26" spans="1:7" ht="24.95" customHeight="1" x14ac:dyDescent="0.25">
      <c r="A26" s="3"/>
      <c r="B26" s="68">
        <f>'Seating Plan'!F79</f>
        <v>0</v>
      </c>
      <c r="C26" s="20" t="e">
        <f>VLOOKUP(B26,Sheet3!B:E,2,0)</f>
        <v>#N/A</v>
      </c>
      <c r="D26" s="20" t="e">
        <f>VLOOKUP(B26,Sheet3!B:E,3,0)</f>
        <v>#N/A</v>
      </c>
      <c r="E26" s="20" t="e">
        <f>VLOOKUP(B26,Sheet3!B:E,4,0)</f>
        <v>#N/A</v>
      </c>
      <c r="F26" s="11" t="s">
        <v>64</v>
      </c>
      <c r="G26" s="4"/>
    </row>
    <row r="27" spans="1:7" ht="24.95" customHeight="1" x14ac:dyDescent="0.25">
      <c r="A27" s="3"/>
      <c r="B27" s="68">
        <f>'Seating Plan'!F80</f>
        <v>0</v>
      </c>
      <c r="C27" s="20" t="e">
        <f>VLOOKUP(B27,Sheet3!B:E,2,0)</f>
        <v>#N/A</v>
      </c>
      <c r="D27" s="20" t="e">
        <f>VLOOKUP(B27,Sheet3!B:E,3,0)</f>
        <v>#N/A</v>
      </c>
      <c r="E27" s="20" t="e">
        <f>VLOOKUP(B27,Sheet3!B:E,4,0)</f>
        <v>#N/A</v>
      </c>
      <c r="F27" s="11" t="s">
        <v>65</v>
      </c>
      <c r="G27" s="4"/>
    </row>
    <row r="28" spans="1:7" ht="24.95" customHeight="1" x14ac:dyDescent="0.25">
      <c r="A28" s="3"/>
      <c r="B28" s="68">
        <f>'Seating Plan'!F81</f>
        <v>0</v>
      </c>
      <c r="C28" s="20" t="e">
        <f>VLOOKUP(B28,Sheet3!B:E,2,0)</f>
        <v>#N/A</v>
      </c>
      <c r="D28" s="20" t="e">
        <f>VLOOKUP(B28,Sheet3!B:E,3,0)</f>
        <v>#N/A</v>
      </c>
      <c r="E28" s="20" t="e">
        <f>VLOOKUP(B28,Sheet3!B:E,4,0)</f>
        <v>#N/A</v>
      </c>
      <c r="F28" s="11" t="s">
        <v>66</v>
      </c>
      <c r="G28" s="4"/>
    </row>
    <row r="29" spans="1:7" ht="24.95" customHeight="1" x14ac:dyDescent="0.25">
      <c r="A29" s="3"/>
      <c r="B29" s="68">
        <f>'Seating Plan'!F82</f>
        <v>0</v>
      </c>
      <c r="C29" s="20" t="e">
        <f>VLOOKUP(B29,Sheet3!B:E,2,0)</f>
        <v>#N/A</v>
      </c>
      <c r="D29" s="20" t="e">
        <f>VLOOKUP(B29,Sheet3!B:E,3,0)</f>
        <v>#N/A</v>
      </c>
      <c r="E29" s="20" t="e">
        <f>VLOOKUP(B29,Sheet3!B:E,4,0)</f>
        <v>#N/A</v>
      </c>
      <c r="F29" s="11" t="s">
        <v>67</v>
      </c>
      <c r="G29" s="4"/>
    </row>
    <row r="30" spans="1:7" ht="24.95" customHeight="1" x14ac:dyDescent="0.25">
      <c r="A30" s="5" t="s">
        <v>1</v>
      </c>
      <c r="B30" s="5" t="s">
        <v>3</v>
      </c>
      <c r="C30" s="5" t="s">
        <v>2</v>
      </c>
      <c r="D30" s="5" t="s">
        <v>19</v>
      </c>
      <c r="E30" s="5" t="s">
        <v>4</v>
      </c>
      <c r="F30" s="5" t="s">
        <v>18</v>
      </c>
      <c r="G30" s="5" t="s">
        <v>5</v>
      </c>
    </row>
    <row r="31" spans="1:7" ht="24.95" customHeight="1" x14ac:dyDescent="0.25">
      <c r="A31" s="3"/>
      <c r="B31" s="68">
        <f>'Seating Plan'!F83</f>
        <v>0</v>
      </c>
      <c r="C31" s="20" t="e">
        <f>VLOOKUP(B31,Sheet3!B:E,2,0)</f>
        <v>#N/A</v>
      </c>
      <c r="D31" s="20" t="e">
        <f>VLOOKUP(B31,Sheet3!B:E,3,0)</f>
        <v>#N/A</v>
      </c>
      <c r="E31" s="20" t="e">
        <f>VLOOKUP(B31,Sheet3!B:E,4,0)</f>
        <v>#N/A</v>
      </c>
      <c r="F31" s="11" t="s">
        <v>68</v>
      </c>
      <c r="G31" s="4"/>
    </row>
    <row r="32" spans="1:7" ht="24.95" customHeight="1" x14ac:dyDescent="0.25">
      <c r="A32" s="3"/>
      <c r="B32" s="68">
        <f>'Seating Plan'!F84</f>
        <v>0</v>
      </c>
      <c r="C32" s="20" t="e">
        <f>VLOOKUP(B32,Sheet3!B:E,2,0)</f>
        <v>#N/A</v>
      </c>
      <c r="D32" s="20" t="e">
        <f>VLOOKUP(B32,Sheet3!B:E,3,0)</f>
        <v>#N/A</v>
      </c>
      <c r="E32" s="20" t="e">
        <f>VLOOKUP(B32,Sheet3!B:E,4,0)</f>
        <v>#N/A</v>
      </c>
      <c r="F32" s="11" t="s">
        <v>69</v>
      </c>
      <c r="G32" s="4"/>
    </row>
    <row r="33" spans="1:7" ht="24.95" customHeight="1" x14ac:dyDescent="0.25">
      <c r="A33" s="3"/>
      <c r="B33" s="68">
        <f>'Seating Plan'!F85</f>
        <v>0</v>
      </c>
      <c r="C33" s="20" t="e">
        <f>VLOOKUP(B33,Sheet3!B:E,2,0)</f>
        <v>#N/A</v>
      </c>
      <c r="D33" s="20" t="e">
        <f>VLOOKUP(B33,Sheet3!B:E,3,0)</f>
        <v>#N/A</v>
      </c>
      <c r="E33" s="20" t="e">
        <f>VLOOKUP(B33,Sheet3!B:E,4,0)</f>
        <v>#N/A</v>
      </c>
      <c r="F33" s="11" t="s">
        <v>70</v>
      </c>
      <c r="G33" s="4"/>
    </row>
    <row r="34" spans="1:7" ht="24.95" customHeight="1" x14ac:dyDescent="0.25">
      <c r="A34" s="3"/>
      <c r="B34" s="68">
        <f>'Seating Plan'!F86</f>
        <v>0</v>
      </c>
      <c r="C34" s="20" t="e">
        <f>VLOOKUP(B34,Sheet3!B:E,2,0)</f>
        <v>#N/A</v>
      </c>
      <c r="D34" s="20" t="e">
        <f>VLOOKUP(B34,Sheet3!B:E,3,0)</f>
        <v>#N/A</v>
      </c>
      <c r="E34" s="20" t="e">
        <f>VLOOKUP(B34,Sheet3!B:E,4,0)</f>
        <v>#N/A</v>
      </c>
      <c r="F34" s="11" t="s">
        <v>71</v>
      </c>
      <c r="G34" s="4"/>
    </row>
    <row r="35" spans="1:7" ht="24.95" customHeight="1" x14ac:dyDescent="0.25">
      <c r="A35" s="3"/>
      <c r="B35" s="68">
        <f>'Seating Plan'!F87</f>
        <v>0</v>
      </c>
      <c r="C35" s="20" t="e">
        <f>VLOOKUP(B35,Sheet3!B:E,2,0)</f>
        <v>#N/A</v>
      </c>
      <c r="D35" s="20" t="e">
        <f>VLOOKUP(B35,Sheet3!B:E,3,0)</f>
        <v>#N/A</v>
      </c>
      <c r="E35" s="20" t="e">
        <f>VLOOKUP(B35,Sheet3!B:E,4,0)</f>
        <v>#N/A</v>
      </c>
      <c r="F35" s="11" t="s">
        <v>72</v>
      </c>
      <c r="G35" s="4"/>
    </row>
    <row r="36" spans="1:7" ht="24.95" customHeight="1" x14ac:dyDescent="0.25">
      <c r="A36" s="3"/>
      <c r="B36" s="68">
        <f>'Seating Plan'!F88</f>
        <v>0</v>
      </c>
      <c r="C36" s="20" t="e">
        <f>VLOOKUP(B36,Sheet3!B:E,2,0)</f>
        <v>#N/A</v>
      </c>
      <c r="D36" s="20" t="e">
        <f>VLOOKUP(B36,Sheet3!B:E,3,0)</f>
        <v>#N/A</v>
      </c>
      <c r="E36" s="20" t="e">
        <f>VLOOKUP(B36,Sheet3!B:E,4,0)</f>
        <v>#N/A</v>
      </c>
      <c r="F36" s="11" t="s">
        <v>73</v>
      </c>
      <c r="G36" s="4"/>
    </row>
    <row r="37" spans="1:7" ht="24.95" customHeight="1" x14ac:dyDescent="0.25">
      <c r="A37" s="3"/>
      <c r="B37" s="68">
        <f>'Seating Plan'!F89</f>
        <v>0</v>
      </c>
      <c r="C37" s="20" t="e">
        <f>VLOOKUP(B37,Sheet3!B:E,2,0)</f>
        <v>#N/A</v>
      </c>
      <c r="D37" s="20" t="e">
        <f>VLOOKUP(B37,Sheet3!B:E,3,0)</f>
        <v>#N/A</v>
      </c>
      <c r="E37" s="20" t="e">
        <f>VLOOKUP(B37,Sheet3!B:E,4,0)</f>
        <v>#N/A</v>
      </c>
      <c r="F37" s="11" t="s">
        <v>74</v>
      </c>
      <c r="G37" s="4"/>
    </row>
    <row r="38" spans="1:7" ht="24.95" customHeight="1" x14ac:dyDescent="0.25">
      <c r="A38" s="3"/>
      <c r="B38" s="68">
        <f>'Seating Plan'!F90</f>
        <v>0</v>
      </c>
      <c r="C38" s="20" t="e">
        <f>VLOOKUP(B38,Sheet3!B:E,2,0)</f>
        <v>#N/A</v>
      </c>
      <c r="D38" s="20" t="e">
        <f>VLOOKUP(B38,Sheet3!B:E,3,0)</f>
        <v>#N/A</v>
      </c>
      <c r="E38" s="20" t="e">
        <f>VLOOKUP(B38,Sheet3!B:E,4,0)</f>
        <v>#N/A</v>
      </c>
      <c r="F38" s="11" t="s">
        <v>75</v>
      </c>
      <c r="G38" s="4"/>
    </row>
    <row r="39" spans="1:7" ht="24.95" customHeight="1" x14ac:dyDescent="0.25">
      <c r="A39" s="3"/>
      <c r="B39" s="68">
        <f>'Seating Plan'!F91</f>
        <v>0</v>
      </c>
      <c r="C39" s="20" t="e">
        <f>VLOOKUP(B39,Sheet3!B:E,2,0)</f>
        <v>#N/A</v>
      </c>
      <c r="D39" s="20" t="e">
        <f>VLOOKUP(B39,Sheet3!B:E,3,0)</f>
        <v>#N/A</v>
      </c>
      <c r="E39" s="20" t="e">
        <f>VLOOKUP(B39,Sheet3!B:E,4,0)</f>
        <v>#N/A</v>
      </c>
      <c r="F39" s="11" t="s">
        <v>76</v>
      </c>
      <c r="G39" s="4"/>
    </row>
    <row r="40" spans="1:7" ht="24.95" customHeight="1" x14ac:dyDescent="0.25">
      <c r="A40" s="3"/>
      <c r="B40" s="68">
        <f>'Seating Plan'!F92</f>
        <v>0</v>
      </c>
      <c r="C40" s="20" t="e">
        <f>VLOOKUP(B40,Sheet3!B:E,2,0)</f>
        <v>#N/A</v>
      </c>
      <c r="D40" s="20" t="e">
        <f>VLOOKUP(B40,Sheet3!B:E,3,0)</f>
        <v>#N/A</v>
      </c>
      <c r="E40" s="20" t="e">
        <f>VLOOKUP(B40,Sheet3!B:E,4,0)</f>
        <v>#N/A</v>
      </c>
      <c r="F40" s="11" t="s">
        <v>77</v>
      </c>
      <c r="G40" s="4"/>
    </row>
    <row r="41" spans="1:7" ht="24.95" customHeight="1" x14ac:dyDescent="0.25">
      <c r="A41" s="3"/>
      <c r="B41" s="68">
        <f>'Seating Plan'!F93</f>
        <v>0</v>
      </c>
      <c r="C41" s="20" t="e">
        <f>VLOOKUP(B41,Sheet3!B:E,2,0)</f>
        <v>#N/A</v>
      </c>
      <c r="D41" s="20" t="e">
        <f>VLOOKUP(B41,Sheet3!B:E,3,0)</f>
        <v>#N/A</v>
      </c>
      <c r="E41" s="20" t="e">
        <f>VLOOKUP(B41,Sheet3!B:E,4,0)</f>
        <v>#N/A</v>
      </c>
      <c r="F41" s="11" t="s">
        <v>78</v>
      </c>
      <c r="G41" s="4"/>
    </row>
    <row r="42" spans="1:7" ht="24.95" customHeight="1" x14ac:dyDescent="0.25">
      <c r="A42" s="3"/>
      <c r="B42" s="68">
        <f>'Seating Plan'!F94</f>
        <v>0</v>
      </c>
      <c r="C42" s="20" t="e">
        <f>VLOOKUP(B42,Sheet3!B:E,2,0)</f>
        <v>#N/A</v>
      </c>
      <c r="D42" s="20" t="e">
        <f>VLOOKUP(B42,Sheet3!B:E,3,0)</f>
        <v>#N/A</v>
      </c>
      <c r="E42" s="20" t="e">
        <f>VLOOKUP(B42,Sheet3!B:E,4,0)</f>
        <v>#N/A</v>
      </c>
      <c r="F42" s="11" t="s">
        <v>79</v>
      </c>
      <c r="G42" s="4"/>
    </row>
    <row r="43" spans="1:7" ht="24.95" customHeight="1" x14ac:dyDescent="0.25">
      <c r="A43" s="3"/>
      <c r="B43" s="68">
        <f>'Seating Plan'!F95</f>
        <v>0</v>
      </c>
      <c r="C43" s="20" t="e">
        <f>VLOOKUP(B43,Sheet3!B:E,2,0)</f>
        <v>#N/A</v>
      </c>
      <c r="D43" s="20" t="e">
        <f>VLOOKUP(B43,Sheet3!B:E,3,0)</f>
        <v>#N/A</v>
      </c>
      <c r="E43" s="20" t="e">
        <f>VLOOKUP(B43,Sheet3!B:E,4,0)</f>
        <v>#N/A</v>
      </c>
      <c r="F43" s="11" t="s">
        <v>80</v>
      </c>
      <c r="G43" s="4"/>
    </row>
    <row r="44" spans="1:7" ht="24.95" customHeight="1" x14ac:dyDescent="0.25">
      <c r="A44" s="3"/>
      <c r="B44" s="68">
        <f>'Seating Plan'!F96</f>
        <v>0</v>
      </c>
      <c r="C44" s="20" t="e">
        <f>VLOOKUP(B44,Sheet3!B:E,2,0)</f>
        <v>#N/A</v>
      </c>
      <c r="D44" s="20" t="e">
        <f>VLOOKUP(B44,Sheet3!B:E,3,0)</f>
        <v>#N/A</v>
      </c>
      <c r="E44" s="20" t="e">
        <f>VLOOKUP(B44,Sheet3!B:E,4,0)</f>
        <v>#N/A</v>
      </c>
      <c r="F44" s="11" t="s">
        <v>81</v>
      </c>
      <c r="G44" s="4"/>
    </row>
    <row r="45" spans="1:7" ht="18.75" customHeight="1" x14ac:dyDescent="0.25">
      <c r="A45" s="3"/>
      <c r="B45" s="68">
        <f>'Seating Plan'!F97</f>
        <v>0</v>
      </c>
      <c r="C45" s="20" t="e">
        <f>VLOOKUP(B45,Sheet3!B:E,2,0)</f>
        <v>#N/A</v>
      </c>
      <c r="D45" s="20" t="e">
        <f>VLOOKUP(B45,Sheet3!B:E,3,0)</f>
        <v>#N/A</v>
      </c>
      <c r="E45" s="20" t="e">
        <f>VLOOKUP(B45,Sheet3!B:E,4,0)</f>
        <v>#N/A</v>
      </c>
      <c r="F45" s="11" t="s">
        <v>109</v>
      </c>
      <c r="G45" s="4"/>
    </row>
    <row r="49" spans="1:7" ht="20.25" x14ac:dyDescent="0.3">
      <c r="A49" s="94" t="s">
        <v>24</v>
      </c>
      <c r="B49" s="94"/>
      <c r="C49" s="94"/>
      <c r="D49" s="94"/>
      <c r="E49" s="94"/>
      <c r="F49" s="94"/>
      <c r="G49" s="94"/>
    </row>
    <row r="50" spans="1:7" ht="20.25" x14ac:dyDescent="0.3">
      <c r="A50" s="94" t="s">
        <v>25</v>
      </c>
      <c r="B50" s="94"/>
      <c r="C50" s="94"/>
      <c r="D50" s="94"/>
      <c r="E50" s="94"/>
      <c r="F50" s="94"/>
      <c r="G50" s="94"/>
    </row>
    <row r="51" spans="1:7" x14ac:dyDescent="0.25">
      <c r="A51" s="82" t="s">
        <v>20</v>
      </c>
      <c r="B51" s="82"/>
      <c r="C51" s="82"/>
      <c r="D51" s="82"/>
      <c r="E51" s="82"/>
      <c r="F51" s="82"/>
      <c r="G51" s="82"/>
    </row>
    <row r="52" spans="1:7" x14ac:dyDescent="0.25">
      <c r="A52" s="82" t="s">
        <v>21</v>
      </c>
      <c r="B52" s="82"/>
      <c r="C52" s="82"/>
      <c r="D52" s="82"/>
      <c r="E52" s="82"/>
      <c r="F52" s="82"/>
      <c r="G52" s="82"/>
    </row>
    <row r="53" spans="1:7" x14ac:dyDescent="0.25">
      <c r="A53" s="95" t="s">
        <v>26</v>
      </c>
      <c r="B53" s="96"/>
      <c r="C53" s="96"/>
      <c r="D53" s="96"/>
      <c r="E53" s="96"/>
      <c r="F53" s="96"/>
      <c r="G53" s="96"/>
    </row>
    <row r="54" spans="1:7" x14ac:dyDescent="0.25">
      <c r="A54" s="96" t="s">
        <v>0</v>
      </c>
      <c r="B54" s="96"/>
      <c r="C54" s="96"/>
      <c r="D54" s="96"/>
      <c r="E54" s="96"/>
      <c r="F54" s="96"/>
      <c r="G54" s="96"/>
    </row>
    <row r="55" spans="1:7" x14ac:dyDescent="0.25">
      <c r="A55" s="2" t="s">
        <v>156</v>
      </c>
      <c r="B55" s="2"/>
      <c r="C55" s="18" t="e">
        <f>VLOOKUP(D58,Sheet3!G:H,2,0)</f>
        <v>#N/A</v>
      </c>
      <c r="D55" s="7"/>
      <c r="E55" s="7"/>
      <c r="F55" s="7"/>
      <c r="G55" s="10" t="str">
        <f>'Seating Plan'!D$3</f>
        <v>08.04.2026</v>
      </c>
    </row>
    <row r="56" spans="1:7" s="27" customFormat="1" ht="24.75" customHeight="1" x14ac:dyDescent="0.25">
      <c r="A56" s="1"/>
      <c r="B56" s="1"/>
      <c r="C56" s="1"/>
      <c r="D56" s="1"/>
      <c r="E56" s="1"/>
      <c r="F56" s="1"/>
      <c r="G56" s="10" t="str">
        <f>'Seating Plan'!G$4</f>
        <v>Shift:I (10:00 to 11:00 AM)</v>
      </c>
    </row>
    <row r="57" spans="1:7" ht="24.95" customHeight="1" x14ac:dyDescent="0.25">
      <c r="A57" s="26" t="s">
        <v>1</v>
      </c>
      <c r="B57" s="26" t="s">
        <v>3</v>
      </c>
      <c r="C57" s="26" t="s">
        <v>2</v>
      </c>
      <c r="D57" s="26" t="s">
        <v>19</v>
      </c>
      <c r="E57" s="26" t="s">
        <v>4</v>
      </c>
      <c r="F57" s="26" t="s">
        <v>18</v>
      </c>
      <c r="G57" s="26" t="s">
        <v>5</v>
      </c>
    </row>
    <row r="58" spans="1:7" ht="24.95" customHeight="1" x14ac:dyDescent="0.25">
      <c r="A58" s="3"/>
      <c r="B58" s="68">
        <f>'Seating Plan'!H63</f>
        <v>0</v>
      </c>
      <c r="C58" s="20" t="e">
        <f>VLOOKUP(B58,Sheet3!B:E,2,0)</f>
        <v>#N/A</v>
      </c>
      <c r="D58" s="20" t="e">
        <f>VLOOKUP(B58,Sheet3!B:E,3,0)</f>
        <v>#N/A</v>
      </c>
      <c r="E58" s="20" t="e">
        <f>VLOOKUP(B58,Sheet3!B:E,4,0)</f>
        <v>#N/A</v>
      </c>
      <c r="F58" s="11" t="s">
        <v>47</v>
      </c>
      <c r="G58" s="4"/>
    </row>
    <row r="59" spans="1:7" ht="24.95" customHeight="1" x14ac:dyDescent="0.25">
      <c r="A59" s="3"/>
      <c r="B59" s="68">
        <f>'Seating Plan'!H64</f>
        <v>0</v>
      </c>
      <c r="C59" s="20" t="e">
        <f>VLOOKUP(B59,Sheet3!B:E,2,0)</f>
        <v>#N/A</v>
      </c>
      <c r="D59" s="20" t="e">
        <f>VLOOKUP(B59,Sheet3!B:E,3,0)</f>
        <v>#N/A</v>
      </c>
      <c r="E59" s="20" t="e">
        <f>VLOOKUP(B59,Sheet3!B:E,4,0)</f>
        <v>#N/A</v>
      </c>
      <c r="F59" s="11" t="s">
        <v>48</v>
      </c>
      <c r="G59" s="4"/>
    </row>
    <row r="60" spans="1:7" ht="24.95" customHeight="1" x14ac:dyDescent="0.25">
      <c r="A60" s="3"/>
      <c r="B60" s="68">
        <f>'Seating Plan'!H65</f>
        <v>0</v>
      </c>
      <c r="C60" s="20" t="e">
        <f>VLOOKUP(B60,Sheet3!B:E,2,0)</f>
        <v>#N/A</v>
      </c>
      <c r="D60" s="20" t="e">
        <f>VLOOKUP(B60,Sheet3!B:E,3,0)</f>
        <v>#N/A</v>
      </c>
      <c r="E60" s="20" t="e">
        <f>VLOOKUP(B60,Sheet3!B:E,4,0)</f>
        <v>#N/A</v>
      </c>
      <c r="F60" s="11" t="s">
        <v>49</v>
      </c>
      <c r="G60" s="4"/>
    </row>
    <row r="61" spans="1:7" ht="24.95" customHeight="1" x14ac:dyDescent="0.25">
      <c r="A61" s="3"/>
      <c r="B61" s="68">
        <f>'Seating Plan'!H66</f>
        <v>0</v>
      </c>
      <c r="C61" s="20" t="e">
        <f>VLOOKUP(B61,Sheet3!B:E,2,0)</f>
        <v>#N/A</v>
      </c>
      <c r="D61" s="20" t="e">
        <f>VLOOKUP(B61,Sheet3!B:E,3,0)</f>
        <v>#N/A</v>
      </c>
      <c r="E61" s="20" t="e">
        <f>VLOOKUP(B61,Sheet3!B:E,4,0)</f>
        <v>#N/A</v>
      </c>
      <c r="F61" s="11" t="s">
        <v>50</v>
      </c>
      <c r="G61" s="4"/>
    </row>
    <row r="62" spans="1:7" ht="24.95" customHeight="1" x14ac:dyDescent="0.25">
      <c r="A62" s="3"/>
      <c r="B62" s="68">
        <f>'Seating Plan'!H67</f>
        <v>0</v>
      </c>
      <c r="C62" s="20" t="e">
        <f>VLOOKUP(B62,Sheet3!B:E,2,0)</f>
        <v>#N/A</v>
      </c>
      <c r="D62" s="20" t="e">
        <f>VLOOKUP(B62,Sheet3!B:E,3,0)</f>
        <v>#N/A</v>
      </c>
      <c r="E62" s="20" t="e">
        <f>VLOOKUP(B62,Sheet3!B:E,4,0)</f>
        <v>#N/A</v>
      </c>
      <c r="F62" s="11" t="s">
        <v>51</v>
      </c>
      <c r="G62" s="4"/>
    </row>
    <row r="63" spans="1:7" ht="24.95" customHeight="1" x14ac:dyDescent="0.25">
      <c r="A63" s="3"/>
      <c r="B63" s="68">
        <f>'Seating Plan'!H68</f>
        <v>0</v>
      </c>
      <c r="C63" s="20" t="e">
        <f>VLOOKUP(B63,Sheet3!B:E,2,0)</f>
        <v>#N/A</v>
      </c>
      <c r="D63" s="20" t="e">
        <f>VLOOKUP(B63,Sheet3!B:E,3,0)</f>
        <v>#N/A</v>
      </c>
      <c r="E63" s="20" t="e">
        <f>VLOOKUP(B63,Sheet3!B:E,4,0)</f>
        <v>#N/A</v>
      </c>
      <c r="F63" s="11" t="s">
        <v>46</v>
      </c>
      <c r="G63" s="4"/>
    </row>
    <row r="64" spans="1:7" ht="24.95" customHeight="1" x14ac:dyDescent="0.25">
      <c r="A64" s="3"/>
      <c r="B64" s="68">
        <f>'Seating Plan'!H69</f>
        <v>0</v>
      </c>
      <c r="C64" s="20" t="e">
        <f>VLOOKUP(B64,Sheet3!B:E,2,0)</f>
        <v>#N/A</v>
      </c>
      <c r="D64" s="20" t="e">
        <f>VLOOKUP(B64,Sheet3!B:E,3,0)</f>
        <v>#N/A</v>
      </c>
      <c r="E64" s="20" t="e">
        <f>VLOOKUP(B64,Sheet3!B:E,4,0)</f>
        <v>#N/A</v>
      </c>
      <c r="F64" s="11" t="s">
        <v>52</v>
      </c>
      <c r="G64" s="4"/>
    </row>
    <row r="65" spans="1:7" ht="24.95" customHeight="1" x14ac:dyDescent="0.25">
      <c r="A65" s="3"/>
      <c r="B65" s="68">
        <f>'Seating Plan'!H70</f>
        <v>0</v>
      </c>
      <c r="C65" s="20" t="e">
        <f>VLOOKUP(B65,Sheet3!B:E,2,0)</f>
        <v>#N/A</v>
      </c>
      <c r="D65" s="20" t="e">
        <f>VLOOKUP(B65,Sheet3!B:E,3,0)</f>
        <v>#N/A</v>
      </c>
      <c r="E65" s="20" t="e">
        <f>VLOOKUP(B65,Sheet3!B:E,4,0)</f>
        <v>#N/A</v>
      </c>
      <c r="F65" s="11" t="s">
        <v>53</v>
      </c>
      <c r="G65" s="4"/>
    </row>
    <row r="66" spans="1:7" ht="24.95" customHeight="1" x14ac:dyDescent="0.25">
      <c r="A66" s="3"/>
      <c r="B66" s="68">
        <f>'Seating Plan'!H71</f>
        <v>0</v>
      </c>
      <c r="C66" s="20" t="e">
        <f>VLOOKUP(B66,Sheet3!B:E,2,0)</f>
        <v>#N/A</v>
      </c>
      <c r="D66" s="20" t="e">
        <f>VLOOKUP(B66,Sheet3!B:E,3,0)</f>
        <v>#N/A</v>
      </c>
      <c r="E66" s="20" t="e">
        <f>VLOOKUP(B66,Sheet3!B:E,4,0)</f>
        <v>#N/A</v>
      </c>
      <c r="F66" s="11" t="s">
        <v>54</v>
      </c>
      <c r="G66" s="4"/>
    </row>
    <row r="67" spans="1:7" ht="24.95" customHeight="1" x14ac:dyDescent="0.25">
      <c r="A67" s="3"/>
      <c r="B67" s="68">
        <f>'Seating Plan'!H72</f>
        <v>0</v>
      </c>
      <c r="C67" s="20" t="e">
        <f>VLOOKUP(B67,Sheet3!B:E,2,0)</f>
        <v>#N/A</v>
      </c>
      <c r="D67" s="20" t="e">
        <f>VLOOKUP(B67,Sheet3!B:E,3,0)</f>
        <v>#N/A</v>
      </c>
      <c r="E67" s="20" t="e">
        <f>VLOOKUP(B67,Sheet3!B:E,4,0)</f>
        <v>#N/A</v>
      </c>
      <c r="F67" s="11" t="s">
        <v>55</v>
      </c>
      <c r="G67" s="4"/>
    </row>
    <row r="68" spans="1:7" ht="24.95" customHeight="1" x14ac:dyDescent="0.25">
      <c r="A68" s="3"/>
      <c r="B68" s="68">
        <f>'Seating Plan'!H73</f>
        <v>0</v>
      </c>
      <c r="C68" s="20" t="e">
        <f>VLOOKUP(B68,Sheet3!B:E,2,0)</f>
        <v>#N/A</v>
      </c>
      <c r="D68" s="20" t="e">
        <f>VLOOKUP(B68,Sheet3!B:E,3,0)</f>
        <v>#N/A</v>
      </c>
      <c r="E68" s="20" t="e">
        <f>VLOOKUP(B68,Sheet3!B:E,4,0)</f>
        <v>#N/A</v>
      </c>
      <c r="F68" s="11" t="s">
        <v>56</v>
      </c>
      <c r="G68" s="4"/>
    </row>
    <row r="69" spans="1:7" ht="24.95" customHeight="1" x14ac:dyDescent="0.25">
      <c r="A69" s="3"/>
      <c r="B69" s="68">
        <f>'Seating Plan'!H74</f>
        <v>0</v>
      </c>
      <c r="C69" s="20" t="e">
        <f>VLOOKUP(B69,Sheet3!B:E,2,0)</f>
        <v>#N/A</v>
      </c>
      <c r="D69" s="20" t="e">
        <f>VLOOKUP(B69,Sheet3!B:E,3,0)</f>
        <v>#N/A</v>
      </c>
      <c r="E69" s="20" t="e">
        <f>VLOOKUP(B69,Sheet3!B:E,4,0)</f>
        <v>#N/A</v>
      </c>
      <c r="F69" s="11" t="s">
        <v>57</v>
      </c>
      <c r="G69" s="4"/>
    </row>
    <row r="70" spans="1:7" ht="24.95" customHeight="1" x14ac:dyDescent="0.25">
      <c r="A70" s="3"/>
      <c r="B70" s="68">
        <f>'Seating Plan'!H75</f>
        <v>0</v>
      </c>
      <c r="C70" s="20" t="e">
        <f>VLOOKUP(B70,Sheet3!B:E,2,0)</f>
        <v>#N/A</v>
      </c>
      <c r="D70" s="20" t="e">
        <f>VLOOKUP(B70,Sheet3!B:E,3,0)</f>
        <v>#N/A</v>
      </c>
      <c r="E70" s="20" t="e">
        <f>VLOOKUP(B70,Sheet3!B:E,4,0)</f>
        <v>#N/A</v>
      </c>
      <c r="F70" s="11" t="s">
        <v>58</v>
      </c>
      <c r="G70" s="4"/>
    </row>
    <row r="71" spans="1:7" ht="24.95" customHeight="1" x14ac:dyDescent="0.25">
      <c r="A71" s="3"/>
      <c r="B71" s="68">
        <f>'Seating Plan'!H76</f>
        <v>0</v>
      </c>
      <c r="C71" s="20" t="e">
        <f>VLOOKUP(B71,Sheet3!B:E,2,0)</f>
        <v>#N/A</v>
      </c>
      <c r="D71" s="20" t="e">
        <f>VLOOKUP(B71,Sheet3!B:E,3,0)</f>
        <v>#N/A</v>
      </c>
      <c r="E71" s="20" t="e">
        <f>VLOOKUP(B71,Sheet3!B:E,4,0)</f>
        <v>#N/A</v>
      </c>
      <c r="F71" s="11" t="s">
        <v>59</v>
      </c>
      <c r="G71" s="4"/>
    </row>
    <row r="72" spans="1:7" ht="24.95" customHeight="1" x14ac:dyDescent="0.25">
      <c r="A72" s="3"/>
      <c r="B72" s="68">
        <f>'Seating Plan'!H77</f>
        <v>0</v>
      </c>
      <c r="C72" s="20" t="e">
        <f>VLOOKUP(B72,Sheet3!B:E,2,0)</f>
        <v>#N/A</v>
      </c>
      <c r="D72" s="20" t="e">
        <f>VLOOKUP(B72,Sheet3!B:E,3,0)</f>
        <v>#N/A</v>
      </c>
      <c r="E72" s="20" t="e">
        <f>VLOOKUP(B72,Sheet3!B:E,4,0)</f>
        <v>#N/A</v>
      </c>
      <c r="F72" s="11" t="s">
        <v>60</v>
      </c>
      <c r="G72" s="4"/>
    </row>
    <row r="73" spans="1:7" ht="24.95" customHeight="1" x14ac:dyDescent="0.25">
      <c r="A73" s="3"/>
      <c r="B73" s="68">
        <f>'Seating Plan'!H78</f>
        <v>0</v>
      </c>
      <c r="C73" s="20" t="e">
        <f>VLOOKUP(B73,Sheet3!B:E,2,0)</f>
        <v>#N/A</v>
      </c>
      <c r="D73" s="20" t="e">
        <f>VLOOKUP(B73,Sheet3!B:E,3,0)</f>
        <v>#N/A</v>
      </c>
      <c r="E73" s="20" t="e">
        <f>VLOOKUP(B73,Sheet3!B:E,4,0)</f>
        <v>#N/A</v>
      </c>
      <c r="F73" s="11" t="s">
        <v>61</v>
      </c>
      <c r="G73" s="4"/>
    </row>
    <row r="74" spans="1:7" ht="24.95" customHeight="1" x14ac:dyDescent="0.25">
      <c r="A74" s="3"/>
      <c r="B74" s="68">
        <f>'Seating Plan'!H79</f>
        <v>0</v>
      </c>
      <c r="C74" s="20" t="e">
        <f>VLOOKUP(B74,Sheet3!B:E,2,0)</f>
        <v>#N/A</v>
      </c>
      <c r="D74" s="20" t="e">
        <f>VLOOKUP(B74,Sheet3!B:E,3,0)</f>
        <v>#N/A</v>
      </c>
      <c r="E74" s="20" t="e">
        <f>VLOOKUP(B74,Sheet3!B:E,4,0)</f>
        <v>#N/A</v>
      </c>
      <c r="F74" s="11" t="s">
        <v>82</v>
      </c>
      <c r="G74" s="4"/>
    </row>
    <row r="75" spans="1:7" ht="24.95" customHeight="1" x14ac:dyDescent="0.25">
      <c r="A75" s="3"/>
      <c r="B75" s="68">
        <f>'Seating Plan'!H80</f>
        <v>0</v>
      </c>
      <c r="C75" s="20" t="e">
        <f>VLOOKUP(B75,Sheet3!B:E,2,0)</f>
        <v>#N/A</v>
      </c>
      <c r="D75" s="20" t="e">
        <f>VLOOKUP(B75,Sheet3!B:E,3,0)</f>
        <v>#N/A</v>
      </c>
      <c r="E75" s="20" t="e">
        <f>VLOOKUP(B75,Sheet3!B:E,4,0)</f>
        <v>#N/A</v>
      </c>
      <c r="F75" s="11" t="s">
        <v>83</v>
      </c>
      <c r="G75" s="4"/>
    </row>
    <row r="76" spans="1:7" ht="24.95" customHeight="1" x14ac:dyDescent="0.25">
      <c r="A76" s="3"/>
      <c r="B76" s="68">
        <f>'Seating Plan'!H81</f>
        <v>0</v>
      </c>
      <c r="C76" s="20" t="e">
        <f>VLOOKUP(B76,Sheet3!B:E,2,0)</f>
        <v>#N/A</v>
      </c>
      <c r="D76" s="20" t="e">
        <f>VLOOKUP(B76,Sheet3!B:E,3,0)</f>
        <v>#N/A</v>
      </c>
      <c r="E76" s="20" t="e">
        <f>VLOOKUP(B76,Sheet3!B:E,4,0)</f>
        <v>#N/A</v>
      </c>
      <c r="F76" s="11" t="s">
        <v>84</v>
      </c>
      <c r="G76" s="4"/>
    </row>
    <row r="77" spans="1:7" ht="24.95" customHeight="1" x14ac:dyDescent="0.25">
      <c r="A77" s="26" t="s">
        <v>1</v>
      </c>
      <c r="B77" s="26" t="s">
        <v>3</v>
      </c>
      <c r="C77" s="26" t="s">
        <v>2</v>
      </c>
      <c r="D77" s="26" t="s">
        <v>19</v>
      </c>
      <c r="E77" s="26" t="s">
        <v>4</v>
      </c>
      <c r="F77" s="26" t="s">
        <v>18</v>
      </c>
      <c r="G77" s="26" t="s">
        <v>5</v>
      </c>
    </row>
    <row r="78" spans="1:7" ht="24.95" customHeight="1" x14ac:dyDescent="0.25">
      <c r="A78" s="3"/>
      <c r="B78" s="68">
        <f>'Seating Plan'!H82</f>
        <v>0</v>
      </c>
      <c r="C78" s="20" t="e">
        <f>VLOOKUP(B78,Sheet3!B:E,2,0)</f>
        <v>#N/A</v>
      </c>
      <c r="D78" s="20" t="e">
        <f>VLOOKUP(B78,Sheet3!B:E,3,0)</f>
        <v>#N/A</v>
      </c>
      <c r="E78" s="20" t="e">
        <f>VLOOKUP(B78,Sheet3!B:E,4,0)</f>
        <v>#N/A</v>
      </c>
      <c r="F78" s="11" t="s">
        <v>85</v>
      </c>
      <c r="G78" s="4"/>
    </row>
    <row r="79" spans="1:7" ht="24.95" customHeight="1" x14ac:dyDescent="0.25">
      <c r="A79" s="3"/>
      <c r="B79" s="68">
        <f>'Seating Plan'!H83</f>
        <v>0</v>
      </c>
      <c r="C79" s="20" t="e">
        <f>VLOOKUP(B79,Sheet3!B:E,2,0)</f>
        <v>#N/A</v>
      </c>
      <c r="D79" s="20" t="e">
        <f>VLOOKUP(B79,Sheet3!B:E,3,0)</f>
        <v>#N/A</v>
      </c>
      <c r="E79" s="20" t="e">
        <f>VLOOKUP(B79,Sheet3!B:E,4,0)</f>
        <v>#N/A</v>
      </c>
      <c r="F79" s="11" t="s">
        <v>86</v>
      </c>
      <c r="G79" s="4"/>
    </row>
    <row r="80" spans="1:7" ht="24.95" customHeight="1" x14ac:dyDescent="0.25">
      <c r="A80" s="3"/>
      <c r="B80" s="68">
        <f>'Seating Plan'!H84</f>
        <v>0</v>
      </c>
      <c r="C80" s="20" t="e">
        <f>VLOOKUP(B80,Sheet3!B:E,2,0)</f>
        <v>#N/A</v>
      </c>
      <c r="D80" s="20" t="e">
        <f>VLOOKUP(B80,Sheet3!B:E,3,0)</f>
        <v>#N/A</v>
      </c>
      <c r="E80" s="20" t="e">
        <f>VLOOKUP(B80,Sheet3!B:E,4,0)</f>
        <v>#N/A</v>
      </c>
      <c r="F80" s="11" t="s">
        <v>87</v>
      </c>
      <c r="G80" s="4"/>
    </row>
    <row r="81" spans="1:7" ht="24.95" customHeight="1" x14ac:dyDescent="0.25">
      <c r="A81" s="3"/>
      <c r="B81" s="68">
        <f>'Seating Plan'!H85</f>
        <v>0</v>
      </c>
      <c r="C81" s="20" t="e">
        <f>VLOOKUP(B81,Sheet3!B:E,2,0)</f>
        <v>#N/A</v>
      </c>
      <c r="D81" s="20" t="e">
        <f>VLOOKUP(B81,Sheet3!B:E,3,0)</f>
        <v>#N/A</v>
      </c>
      <c r="E81" s="20" t="e">
        <f>VLOOKUP(B81,Sheet3!B:E,4,0)</f>
        <v>#N/A</v>
      </c>
      <c r="F81" s="11" t="s">
        <v>88</v>
      </c>
      <c r="G81" s="4"/>
    </row>
    <row r="82" spans="1:7" ht="24.95" customHeight="1" x14ac:dyDescent="0.25">
      <c r="A82" s="3"/>
      <c r="B82" s="68">
        <f>'Seating Plan'!H86</f>
        <v>0</v>
      </c>
      <c r="C82" s="20" t="e">
        <f>VLOOKUP(B82,Sheet3!B:E,2,0)</f>
        <v>#N/A</v>
      </c>
      <c r="D82" s="20" t="e">
        <f>VLOOKUP(B82,Sheet3!B:E,3,0)</f>
        <v>#N/A</v>
      </c>
      <c r="E82" s="20" t="e">
        <f>VLOOKUP(B82,Sheet3!B:E,4,0)</f>
        <v>#N/A</v>
      </c>
      <c r="F82" s="11" t="s">
        <v>89</v>
      </c>
      <c r="G82" s="4"/>
    </row>
    <row r="83" spans="1:7" ht="24.95" customHeight="1" x14ac:dyDescent="0.25">
      <c r="A83" s="3"/>
      <c r="B83" s="68">
        <f>'Seating Plan'!H87</f>
        <v>0</v>
      </c>
      <c r="C83" s="20" t="e">
        <f>VLOOKUP(B83,Sheet3!B:E,2,0)</f>
        <v>#N/A</v>
      </c>
      <c r="D83" s="20" t="e">
        <f>VLOOKUP(B83,Sheet3!B:E,3,0)</f>
        <v>#N/A</v>
      </c>
      <c r="E83" s="20" t="e">
        <f>VLOOKUP(B83,Sheet3!B:E,4,0)</f>
        <v>#N/A</v>
      </c>
      <c r="F83" s="11" t="s">
        <v>90</v>
      </c>
      <c r="G83" s="4"/>
    </row>
    <row r="84" spans="1:7" ht="24.95" customHeight="1" x14ac:dyDescent="0.25">
      <c r="A84" s="3"/>
      <c r="B84" s="68">
        <f>'Seating Plan'!H88</f>
        <v>0</v>
      </c>
      <c r="C84" s="20" t="e">
        <f>VLOOKUP(B84,Sheet3!B:E,2,0)</f>
        <v>#N/A</v>
      </c>
      <c r="D84" s="20" t="e">
        <f>VLOOKUP(B84,Sheet3!B:E,3,0)</f>
        <v>#N/A</v>
      </c>
      <c r="E84" s="20" t="e">
        <f>VLOOKUP(B84,Sheet3!B:E,4,0)</f>
        <v>#N/A</v>
      </c>
      <c r="F84" s="11" t="s">
        <v>91</v>
      </c>
      <c r="G84" s="4"/>
    </row>
    <row r="85" spans="1:7" ht="24.95" customHeight="1" x14ac:dyDescent="0.25">
      <c r="A85" s="3"/>
      <c r="B85" s="68">
        <f>'Seating Plan'!H89</f>
        <v>0</v>
      </c>
      <c r="C85" s="20" t="e">
        <f>VLOOKUP(B85,Sheet3!B:E,2,0)</f>
        <v>#N/A</v>
      </c>
      <c r="D85" s="20" t="e">
        <f>VLOOKUP(B85,Sheet3!B:E,3,0)</f>
        <v>#N/A</v>
      </c>
      <c r="E85" s="20" t="e">
        <f>VLOOKUP(B85,Sheet3!B:E,4,0)</f>
        <v>#N/A</v>
      </c>
      <c r="F85" s="11" t="s">
        <v>92</v>
      </c>
      <c r="G85" s="4"/>
    </row>
    <row r="86" spans="1:7" ht="24.95" customHeight="1" x14ac:dyDescent="0.25">
      <c r="A86" s="3"/>
      <c r="B86" s="68">
        <f>'Seating Plan'!H90</f>
        <v>0</v>
      </c>
      <c r="C86" s="20" t="e">
        <f>VLOOKUP(B86,Sheet3!B:E,2,0)</f>
        <v>#N/A</v>
      </c>
      <c r="D86" s="20" t="e">
        <f>VLOOKUP(B86,Sheet3!B:E,3,0)</f>
        <v>#N/A</v>
      </c>
      <c r="E86" s="20" t="e">
        <f>VLOOKUP(B86,Sheet3!B:E,4,0)</f>
        <v>#N/A</v>
      </c>
      <c r="F86" s="11" t="s">
        <v>93</v>
      </c>
      <c r="G86" s="4"/>
    </row>
    <row r="87" spans="1:7" ht="24.95" customHeight="1" x14ac:dyDescent="0.25">
      <c r="A87" s="3"/>
      <c r="B87" s="68">
        <f>'Seating Plan'!H91</f>
        <v>0</v>
      </c>
      <c r="C87" s="20" t="e">
        <f>VLOOKUP(B87,Sheet3!B:E,2,0)</f>
        <v>#N/A</v>
      </c>
      <c r="D87" s="20" t="e">
        <f>VLOOKUP(B87,Sheet3!B:E,3,0)</f>
        <v>#N/A</v>
      </c>
      <c r="E87" s="20" t="e">
        <f>VLOOKUP(B87,Sheet3!B:E,4,0)</f>
        <v>#N/A</v>
      </c>
      <c r="F87" s="11" t="s">
        <v>94</v>
      </c>
      <c r="G87" s="4"/>
    </row>
    <row r="88" spans="1:7" ht="24.95" customHeight="1" x14ac:dyDescent="0.25">
      <c r="A88" s="3"/>
      <c r="B88" s="68">
        <f>'Seating Plan'!H92</f>
        <v>0</v>
      </c>
      <c r="C88" s="20" t="e">
        <f>VLOOKUP(B88,Sheet3!B:E,2,0)</f>
        <v>#N/A</v>
      </c>
      <c r="D88" s="20" t="e">
        <f>VLOOKUP(B88,Sheet3!B:E,3,0)</f>
        <v>#N/A</v>
      </c>
      <c r="E88" s="20" t="e">
        <f>VLOOKUP(B88,Sheet3!B:E,4,0)</f>
        <v>#N/A</v>
      </c>
      <c r="F88" s="11" t="s">
        <v>95</v>
      </c>
      <c r="G88" s="4"/>
    </row>
    <row r="89" spans="1:7" ht="24.95" customHeight="1" x14ac:dyDescent="0.25">
      <c r="A89" s="3"/>
      <c r="B89" s="68">
        <f>'Seating Plan'!H93</f>
        <v>0</v>
      </c>
      <c r="C89" s="20" t="e">
        <f>VLOOKUP(B89,Sheet3!B:E,2,0)</f>
        <v>#N/A</v>
      </c>
      <c r="D89" s="20" t="e">
        <f>VLOOKUP(B89,Sheet3!B:E,3,0)</f>
        <v>#N/A</v>
      </c>
      <c r="E89" s="20" t="e">
        <f>VLOOKUP(B89,Sheet3!B:E,4,0)</f>
        <v>#N/A</v>
      </c>
      <c r="F89" s="11" t="s">
        <v>96</v>
      </c>
      <c r="G89" s="4"/>
    </row>
    <row r="90" spans="1:7" ht="24.95" customHeight="1" x14ac:dyDescent="0.25">
      <c r="A90" s="3"/>
      <c r="B90" s="68">
        <f>'Seating Plan'!H94</f>
        <v>0</v>
      </c>
      <c r="C90" s="20" t="e">
        <f>VLOOKUP(B90,Sheet3!B:E,2,0)</f>
        <v>#N/A</v>
      </c>
      <c r="D90" s="20" t="e">
        <f>VLOOKUP(B90,Sheet3!B:E,3,0)</f>
        <v>#N/A</v>
      </c>
      <c r="E90" s="20" t="e">
        <f>VLOOKUP(B90,Sheet3!B:E,4,0)</f>
        <v>#N/A</v>
      </c>
      <c r="F90" s="11" t="s">
        <v>97</v>
      </c>
      <c r="G90" s="4"/>
    </row>
    <row r="91" spans="1:7" ht="24.95" customHeight="1" x14ac:dyDescent="0.25">
      <c r="A91" s="3"/>
      <c r="B91" s="68">
        <f>'Seating Plan'!H95</f>
        <v>0</v>
      </c>
      <c r="C91" s="20" t="e">
        <f>VLOOKUP(B91,Sheet3!B:E,2,0)</f>
        <v>#N/A</v>
      </c>
      <c r="D91" s="20" t="e">
        <f>VLOOKUP(B91,Sheet3!B:E,3,0)</f>
        <v>#N/A</v>
      </c>
      <c r="E91" s="20" t="e">
        <f>VLOOKUP(B91,Sheet3!B:E,4,0)</f>
        <v>#N/A</v>
      </c>
      <c r="F91" s="11" t="s">
        <v>98</v>
      </c>
      <c r="G91" s="4"/>
    </row>
    <row r="92" spans="1:7" ht="24.95" customHeight="1" x14ac:dyDescent="0.25">
      <c r="A92" s="3"/>
      <c r="B92" s="68">
        <f>'Seating Plan'!H96</f>
        <v>0</v>
      </c>
      <c r="C92" s="20" t="e">
        <f>VLOOKUP(B92,Sheet3!B:E,2,0)</f>
        <v>#N/A</v>
      </c>
      <c r="D92" s="20" t="e">
        <f>VLOOKUP(B92,Sheet3!B:E,3,0)</f>
        <v>#N/A</v>
      </c>
      <c r="E92" s="20" t="e">
        <f>VLOOKUP(B92,Sheet3!B:E,4,0)</f>
        <v>#N/A</v>
      </c>
      <c r="F92" s="11" t="s">
        <v>99</v>
      </c>
      <c r="G92" s="4"/>
    </row>
    <row r="93" spans="1:7" ht="24.75" customHeight="1" x14ac:dyDescent="0.25">
      <c r="A93" s="3"/>
      <c r="B93" s="68">
        <f>'Seating Plan'!H97</f>
        <v>0</v>
      </c>
      <c r="C93" s="20" t="e">
        <f>VLOOKUP(B93,Sheet3!B:E,2,0)</f>
        <v>#N/A</v>
      </c>
      <c r="D93" s="20" t="e">
        <f>VLOOKUP(B93,Sheet3!B:E,3,0)</f>
        <v>#N/A</v>
      </c>
      <c r="E93" s="20" t="e">
        <f>VLOOKUP(B93,Sheet3!B:E,4,0)</f>
        <v>#N/A</v>
      </c>
      <c r="F93" s="11" t="s">
        <v>110</v>
      </c>
      <c r="G93" s="4"/>
    </row>
  </sheetData>
  <mergeCells count="12">
    <mergeCell ref="A1:G1"/>
    <mergeCell ref="A2:G2"/>
    <mergeCell ref="A3:G3"/>
    <mergeCell ref="A53:G53"/>
    <mergeCell ref="A54:G54"/>
    <mergeCell ref="A4:G4"/>
    <mergeCell ref="A5:G5"/>
    <mergeCell ref="A49:G49"/>
    <mergeCell ref="A50:G50"/>
    <mergeCell ref="A51:G51"/>
    <mergeCell ref="A52:G52"/>
    <mergeCell ref="A6:G6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orientation="portrait" r:id="rId1"/>
  <headerFooter>
    <oddFooter xml:space="preserve">&amp;L
Technical Staff Name and Signature&amp;C
Total Present:
Total Present:&amp;R
Invigilator Name and Sign
Invigilator Name and Sign
</oddFooter>
  </headerFooter>
  <rowBreaks count="3" manualBreakCount="3">
    <brk id="29" max="16383" man="1"/>
    <brk id="47" max="16383" man="1"/>
    <brk id="7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9C2D-4D4F-4B80-A99C-FC04F9B72D01}">
  <dimension ref="A1:G63"/>
  <sheetViews>
    <sheetView zoomScaleNormal="100" workbookViewId="0">
      <selection activeCell="A7" sqref="A7"/>
    </sheetView>
  </sheetViews>
  <sheetFormatPr defaultColWidth="8.7109375" defaultRowHeight="15" x14ac:dyDescent="0.25"/>
  <cols>
    <col min="1" max="1" width="5.7109375" style="1" customWidth="1"/>
    <col min="2" max="2" width="15.140625" style="1" customWidth="1"/>
    <col min="3" max="3" width="26.28515625" style="1" customWidth="1"/>
    <col min="4" max="4" width="12.42578125" style="1" customWidth="1"/>
    <col min="5" max="5" width="11.42578125" style="1" customWidth="1"/>
    <col min="6" max="6" width="8.7109375" style="1" customWidth="1"/>
    <col min="7" max="7" width="17.42578125" style="1" customWidth="1"/>
    <col min="8" max="16384" width="8.7109375" style="1"/>
  </cols>
  <sheetData>
    <row r="1" spans="1:7" ht="20.25" x14ac:dyDescent="0.3">
      <c r="A1" s="94" t="s">
        <v>24</v>
      </c>
      <c r="B1" s="94"/>
      <c r="C1" s="94"/>
      <c r="D1" s="94"/>
      <c r="E1" s="94"/>
      <c r="F1" s="94"/>
      <c r="G1" s="94"/>
    </row>
    <row r="2" spans="1:7" ht="20.25" x14ac:dyDescent="0.3">
      <c r="A2" s="94" t="s">
        <v>25</v>
      </c>
      <c r="B2" s="94"/>
      <c r="C2" s="94"/>
      <c r="D2" s="94"/>
      <c r="E2" s="94"/>
      <c r="F2" s="94"/>
      <c r="G2" s="94"/>
    </row>
    <row r="3" spans="1:7" x14ac:dyDescent="0.25">
      <c r="A3" s="82" t="s">
        <v>20</v>
      </c>
      <c r="B3" s="82"/>
      <c r="C3" s="82"/>
      <c r="D3" s="82"/>
      <c r="E3" s="82"/>
      <c r="F3" s="82"/>
      <c r="G3" s="82"/>
    </row>
    <row r="4" spans="1:7" x14ac:dyDescent="0.25">
      <c r="A4" s="82" t="s">
        <v>21</v>
      </c>
      <c r="B4" s="82"/>
      <c r="C4" s="82"/>
      <c r="D4" s="82"/>
      <c r="E4" s="82"/>
      <c r="F4" s="82"/>
      <c r="G4" s="82"/>
    </row>
    <row r="5" spans="1:7" x14ac:dyDescent="0.25">
      <c r="A5" s="82" t="s">
        <v>15</v>
      </c>
      <c r="B5" s="82"/>
      <c r="C5" s="82"/>
      <c r="D5" s="82"/>
      <c r="E5" s="82"/>
      <c r="F5" s="82"/>
      <c r="G5" s="82"/>
    </row>
    <row r="6" spans="1:7" x14ac:dyDescent="0.25">
      <c r="A6" s="82" t="s">
        <v>0</v>
      </c>
      <c r="B6" s="82"/>
      <c r="C6" s="82"/>
      <c r="D6" s="82"/>
      <c r="E6" s="82"/>
      <c r="F6" s="82"/>
      <c r="G6" s="82"/>
    </row>
    <row r="7" spans="1:7" ht="22.5" customHeight="1" x14ac:dyDescent="0.25">
      <c r="A7" s="2" t="s">
        <v>156</v>
      </c>
      <c r="B7" s="2"/>
      <c r="C7" s="18" t="e">
        <f>VLOOKUP(D10,Sheet3!G:H,2,0)</f>
        <v>#N/A</v>
      </c>
      <c r="G7" s="10" t="str">
        <f>'Seating Plan'!D$3</f>
        <v>08.04.2026</v>
      </c>
    </row>
    <row r="8" spans="1:7" ht="21.95" customHeight="1" x14ac:dyDescent="0.25">
      <c r="G8" s="10" t="str">
        <f>'Seating Plan'!G$4</f>
        <v>Shift:I (10:00 to 11:00 AM)</v>
      </c>
    </row>
    <row r="9" spans="1:7" ht="23.1" customHeight="1" x14ac:dyDescent="0.25">
      <c r="A9" s="5" t="s">
        <v>1</v>
      </c>
      <c r="B9" s="5" t="s">
        <v>3</v>
      </c>
      <c r="C9" s="5" t="s">
        <v>2</v>
      </c>
      <c r="D9" s="5" t="s">
        <v>19</v>
      </c>
      <c r="E9" s="5" t="s">
        <v>4</v>
      </c>
      <c r="F9" s="5" t="s">
        <v>18</v>
      </c>
      <c r="G9" s="5" t="s">
        <v>5</v>
      </c>
    </row>
    <row r="10" spans="1:7" ht="23.1" customHeight="1" x14ac:dyDescent="0.25">
      <c r="A10" s="28"/>
      <c r="B10" s="68">
        <f>'Seating Plan'!F98</f>
        <v>0</v>
      </c>
      <c r="C10" s="20" t="e">
        <f>VLOOKUP(B10,Sheet3!B:E,2,0)</f>
        <v>#N/A</v>
      </c>
      <c r="D10" s="20" t="e">
        <f>VLOOKUP(B10,Sheet3!B:E,3,0)</f>
        <v>#N/A</v>
      </c>
      <c r="E10" s="20" t="e">
        <f>VLOOKUP(B10,Sheet3!B:E,4,0)</f>
        <v>#N/A</v>
      </c>
      <c r="F10" s="11" t="s">
        <v>32</v>
      </c>
      <c r="G10" s="4"/>
    </row>
    <row r="11" spans="1:7" ht="23.1" customHeight="1" x14ac:dyDescent="0.25">
      <c r="A11" s="28"/>
      <c r="B11" s="68">
        <f>'Seating Plan'!F99</f>
        <v>0</v>
      </c>
      <c r="C11" s="20" t="e">
        <f>VLOOKUP(B11,Sheet3!B:E,2,0)</f>
        <v>#N/A</v>
      </c>
      <c r="D11" s="20" t="e">
        <f>VLOOKUP(B11,Sheet3!B:E,3,0)</f>
        <v>#N/A</v>
      </c>
      <c r="E11" s="20" t="e">
        <f>VLOOKUP(B11,Sheet3!B:E,4,0)</f>
        <v>#N/A</v>
      </c>
      <c r="F11" s="11" t="s">
        <v>33</v>
      </c>
      <c r="G11" s="4"/>
    </row>
    <row r="12" spans="1:7" ht="23.1" customHeight="1" x14ac:dyDescent="0.25">
      <c r="A12" s="28"/>
      <c r="B12" s="68">
        <f>'Seating Plan'!F100</f>
        <v>0</v>
      </c>
      <c r="C12" s="20" t="e">
        <f>VLOOKUP(B12,Sheet3!B:E,2,0)</f>
        <v>#N/A</v>
      </c>
      <c r="D12" s="20" t="e">
        <f>VLOOKUP(B12,Sheet3!B:E,3,0)</f>
        <v>#N/A</v>
      </c>
      <c r="E12" s="20" t="e">
        <f>VLOOKUP(B12,Sheet3!B:E,4,0)</f>
        <v>#N/A</v>
      </c>
      <c r="F12" s="11" t="s">
        <v>34</v>
      </c>
      <c r="G12" s="4"/>
    </row>
    <row r="13" spans="1:7" ht="23.1" customHeight="1" x14ac:dyDescent="0.25">
      <c r="A13" s="28"/>
      <c r="B13" s="68">
        <f>'Seating Plan'!F101</f>
        <v>0</v>
      </c>
      <c r="C13" s="20" t="e">
        <f>VLOOKUP(B13,Sheet3!B:E,2,0)</f>
        <v>#N/A</v>
      </c>
      <c r="D13" s="20" t="e">
        <f>VLOOKUP(B13,Sheet3!B:E,3,0)</f>
        <v>#N/A</v>
      </c>
      <c r="E13" s="20" t="e">
        <f>VLOOKUP(B13,Sheet3!B:E,4,0)</f>
        <v>#N/A</v>
      </c>
      <c r="F13" s="11" t="s">
        <v>35</v>
      </c>
      <c r="G13" s="4"/>
    </row>
    <row r="14" spans="1:7" ht="23.1" customHeight="1" x14ac:dyDescent="0.25">
      <c r="A14" s="28"/>
      <c r="B14" s="68">
        <f>'Seating Plan'!F102</f>
        <v>0</v>
      </c>
      <c r="C14" s="20" t="e">
        <f>VLOOKUP(B14,Sheet3!B:E,2,0)</f>
        <v>#N/A</v>
      </c>
      <c r="D14" s="20" t="e">
        <f>VLOOKUP(B14,Sheet3!B:E,3,0)</f>
        <v>#N/A</v>
      </c>
      <c r="E14" s="20" t="e">
        <f>VLOOKUP(B14,Sheet3!B:E,4,0)</f>
        <v>#N/A</v>
      </c>
      <c r="F14" s="11" t="s">
        <v>36</v>
      </c>
      <c r="G14" s="4"/>
    </row>
    <row r="15" spans="1:7" ht="23.1" customHeight="1" x14ac:dyDescent="0.25">
      <c r="A15" s="28"/>
      <c r="B15" s="68">
        <f>'Seating Plan'!F103</f>
        <v>0</v>
      </c>
      <c r="C15" s="20" t="e">
        <f>VLOOKUP(B15,Sheet3!B:E,2,0)</f>
        <v>#N/A</v>
      </c>
      <c r="D15" s="20" t="e">
        <f>VLOOKUP(B15,Sheet3!B:E,3,0)</f>
        <v>#N/A</v>
      </c>
      <c r="E15" s="20" t="e">
        <f>VLOOKUP(B15,Sheet3!B:E,4,0)</f>
        <v>#N/A</v>
      </c>
      <c r="F15" s="11" t="s">
        <v>37</v>
      </c>
      <c r="G15" s="4"/>
    </row>
    <row r="16" spans="1:7" ht="23.1" customHeight="1" x14ac:dyDescent="0.25">
      <c r="A16" s="28"/>
      <c r="B16" s="68">
        <f>'Seating Plan'!F104</f>
        <v>0</v>
      </c>
      <c r="C16" s="20" t="e">
        <f>VLOOKUP(B16,Sheet3!B:E,2,0)</f>
        <v>#N/A</v>
      </c>
      <c r="D16" s="20" t="e">
        <f>VLOOKUP(B16,Sheet3!B:E,3,0)</f>
        <v>#N/A</v>
      </c>
      <c r="E16" s="20" t="e">
        <f>VLOOKUP(B16,Sheet3!B:E,4,0)</f>
        <v>#N/A</v>
      </c>
      <c r="F16" s="11" t="s">
        <v>38</v>
      </c>
      <c r="G16" s="4"/>
    </row>
    <row r="17" spans="1:7" ht="23.1" customHeight="1" x14ac:dyDescent="0.25">
      <c r="A17" s="28"/>
      <c r="B17" s="68">
        <f>'Seating Plan'!F105</f>
        <v>0</v>
      </c>
      <c r="C17" s="20" t="e">
        <f>VLOOKUP(B17,Sheet3!B:E,2,0)</f>
        <v>#N/A</v>
      </c>
      <c r="D17" s="20" t="e">
        <f>VLOOKUP(B17,Sheet3!B:E,3,0)</f>
        <v>#N/A</v>
      </c>
      <c r="E17" s="20" t="e">
        <f>VLOOKUP(B17,Sheet3!B:E,4,0)</f>
        <v>#N/A</v>
      </c>
      <c r="F17" s="11" t="s">
        <v>39</v>
      </c>
      <c r="G17" s="4"/>
    </row>
    <row r="18" spans="1:7" ht="23.1" customHeight="1" x14ac:dyDescent="0.25">
      <c r="A18" s="28"/>
      <c r="B18" s="68">
        <f>'Seating Plan'!F106</f>
        <v>0</v>
      </c>
      <c r="C18" s="20" t="e">
        <f>VLOOKUP(B18,Sheet3!B:E,2,0)</f>
        <v>#N/A</v>
      </c>
      <c r="D18" s="20" t="e">
        <f>VLOOKUP(B18,Sheet3!B:E,3,0)</f>
        <v>#N/A</v>
      </c>
      <c r="E18" s="20" t="e">
        <f>VLOOKUP(B18,Sheet3!B:E,4,0)</f>
        <v>#N/A</v>
      </c>
      <c r="F18" s="11" t="s">
        <v>40</v>
      </c>
      <c r="G18" s="4"/>
    </row>
    <row r="19" spans="1:7" ht="23.1" customHeight="1" x14ac:dyDescent="0.25">
      <c r="A19" s="28"/>
      <c r="B19" s="68">
        <f>'Seating Plan'!F107</f>
        <v>0</v>
      </c>
      <c r="C19" s="20" t="e">
        <f>VLOOKUP(B19,Sheet3!B:E,2,0)</f>
        <v>#N/A</v>
      </c>
      <c r="D19" s="20" t="e">
        <f>VLOOKUP(B19,Sheet3!B:E,3,0)</f>
        <v>#N/A</v>
      </c>
      <c r="E19" s="20" t="e">
        <f>VLOOKUP(B19,Sheet3!B:E,4,0)</f>
        <v>#N/A</v>
      </c>
      <c r="F19" s="11" t="s">
        <v>41</v>
      </c>
      <c r="G19" s="4"/>
    </row>
    <row r="20" spans="1:7" ht="23.1" customHeight="1" x14ac:dyDescent="0.25">
      <c r="A20" s="28"/>
      <c r="B20" s="68">
        <f>'Seating Plan'!F108</f>
        <v>0</v>
      </c>
      <c r="C20" s="20" t="e">
        <f>VLOOKUP(B20,Sheet3!B:E,2,0)</f>
        <v>#N/A</v>
      </c>
      <c r="D20" s="20" t="e">
        <f>VLOOKUP(B20,Sheet3!B:E,3,0)</f>
        <v>#N/A</v>
      </c>
      <c r="E20" s="20" t="e">
        <f>VLOOKUP(B20,Sheet3!B:E,4,0)</f>
        <v>#N/A</v>
      </c>
      <c r="F20" s="11" t="s">
        <v>42</v>
      </c>
      <c r="G20" s="4"/>
    </row>
    <row r="21" spans="1:7" ht="23.1" customHeight="1" x14ac:dyDescent="0.25">
      <c r="A21" s="28"/>
      <c r="B21" s="68">
        <f>'Seating Plan'!F109</f>
        <v>0</v>
      </c>
      <c r="C21" s="20" t="e">
        <f>VLOOKUP(B21,Sheet3!B:E,2,0)</f>
        <v>#N/A</v>
      </c>
      <c r="D21" s="20" t="e">
        <f>VLOOKUP(B21,Sheet3!B:E,3,0)</f>
        <v>#N/A</v>
      </c>
      <c r="E21" s="20" t="e">
        <f>VLOOKUP(B21,Sheet3!B:E,4,0)</f>
        <v>#N/A</v>
      </c>
      <c r="F21" s="11" t="s">
        <v>43</v>
      </c>
      <c r="G21" s="4"/>
    </row>
    <row r="22" spans="1:7" ht="23.1" customHeight="1" x14ac:dyDescent="0.25">
      <c r="A22" s="28"/>
      <c r="B22" s="68">
        <f>'Seating Plan'!F110</f>
        <v>0</v>
      </c>
      <c r="C22" s="20" t="e">
        <f>VLOOKUP(B22,Sheet3!B:E,2,0)</f>
        <v>#N/A</v>
      </c>
      <c r="D22" s="20" t="e">
        <f>VLOOKUP(B22,Sheet3!B:E,3,0)</f>
        <v>#N/A</v>
      </c>
      <c r="E22" s="20" t="e">
        <f>VLOOKUP(B22,Sheet3!B:E,4,0)</f>
        <v>#N/A</v>
      </c>
      <c r="F22" s="11" t="s">
        <v>44</v>
      </c>
      <c r="G22" s="4"/>
    </row>
    <row r="23" spans="1:7" ht="23.1" customHeight="1" x14ac:dyDescent="0.25">
      <c r="A23" s="28"/>
      <c r="B23" s="68">
        <f>'Seating Plan'!F111</f>
        <v>0</v>
      </c>
      <c r="C23" s="20" t="e">
        <f>VLOOKUP(B23,Sheet3!B:E,2,0)</f>
        <v>#N/A</v>
      </c>
      <c r="D23" s="20" t="e">
        <f>VLOOKUP(B23,Sheet3!B:E,3,0)</f>
        <v>#N/A</v>
      </c>
      <c r="E23" s="20" t="e">
        <f>VLOOKUP(B23,Sheet3!B:E,4,0)</f>
        <v>#N/A</v>
      </c>
      <c r="F23" s="11" t="s">
        <v>45</v>
      </c>
      <c r="G23" s="4"/>
    </row>
    <row r="24" spans="1:7" ht="23.1" customHeight="1" x14ac:dyDescent="0.25">
      <c r="A24" s="28"/>
      <c r="B24" s="68">
        <f>'Seating Plan'!F112</f>
        <v>0</v>
      </c>
      <c r="C24" s="20" t="e">
        <f>VLOOKUP(B24,Sheet3!B:E,2,0)</f>
        <v>#N/A</v>
      </c>
      <c r="D24" s="20" t="e">
        <f>VLOOKUP(B24,Sheet3!B:E,3,0)</f>
        <v>#N/A</v>
      </c>
      <c r="E24" s="20" t="e">
        <f>VLOOKUP(B24,Sheet3!B:E,4,0)</f>
        <v>#N/A</v>
      </c>
      <c r="F24" s="11" t="s">
        <v>62</v>
      </c>
      <c r="G24" s="4"/>
    </row>
    <row r="25" spans="1:7" ht="23.1" customHeight="1" x14ac:dyDescent="0.25">
      <c r="A25" s="28"/>
      <c r="B25" s="68">
        <f>'Seating Plan'!F113</f>
        <v>0</v>
      </c>
      <c r="C25" s="20" t="e">
        <f>VLOOKUP(B25,Sheet3!B:E,2,0)</f>
        <v>#N/A</v>
      </c>
      <c r="D25" s="20" t="e">
        <f>VLOOKUP(B25,Sheet3!B:E,3,0)</f>
        <v>#N/A</v>
      </c>
      <c r="E25" s="20" t="e">
        <f>VLOOKUP(B25,Sheet3!B:E,4,0)</f>
        <v>#N/A</v>
      </c>
      <c r="F25" s="11" t="s">
        <v>63</v>
      </c>
      <c r="G25" s="4"/>
    </row>
    <row r="26" spans="1:7" ht="23.1" customHeight="1" x14ac:dyDescent="0.25">
      <c r="A26" s="28"/>
      <c r="B26" s="68">
        <f>'Seating Plan'!F114</f>
        <v>0</v>
      </c>
      <c r="C26" s="20" t="e">
        <f>VLOOKUP(B26,Sheet3!B:E,2,0)</f>
        <v>#N/A</v>
      </c>
      <c r="D26" s="20" t="e">
        <f>VLOOKUP(B26,Sheet3!B:E,3,0)</f>
        <v>#N/A</v>
      </c>
      <c r="E26" s="20" t="e">
        <f>VLOOKUP(B26,Sheet3!B:E,4,0)</f>
        <v>#N/A</v>
      </c>
      <c r="F26" s="11" t="s">
        <v>64</v>
      </c>
      <c r="G26" s="4"/>
    </row>
    <row r="27" spans="1:7" ht="23.1" customHeight="1" x14ac:dyDescent="0.25">
      <c r="A27" s="28"/>
      <c r="B27" s="68">
        <f>'Seating Plan'!F115</f>
        <v>0</v>
      </c>
      <c r="C27" s="20" t="e">
        <f>VLOOKUP(B27,Sheet3!B:E,2,0)</f>
        <v>#N/A</v>
      </c>
      <c r="D27" s="20" t="e">
        <f>VLOOKUP(B27,Sheet3!B:E,3,0)</f>
        <v>#N/A</v>
      </c>
      <c r="E27" s="20" t="e">
        <f>VLOOKUP(B27,Sheet3!B:E,4,0)</f>
        <v>#N/A</v>
      </c>
      <c r="F27" s="11" t="s">
        <v>65</v>
      </c>
      <c r="G27" s="4"/>
    </row>
    <row r="28" spans="1:7" ht="23.1" customHeight="1" x14ac:dyDescent="0.25">
      <c r="A28" s="28"/>
      <c r="B28" s="68">
        <f>'Seating Plan'!F116</f>
        <v>0</v>
      </c>
      <c r="C28" s="20" t="e">
        <f>VLOOKUP(B28,Sheet3!B:E,2,0)</f>
        <v>#N/A</v>
      </c>
      <c r="D28" s="20" t="e">
        <f>VLOOKUP(B28,Sheet3!B:E,3,0)</f>
        <v>#N/A</v>
      </c>
      <c r="E28" s="20" t="e">
        <f>VLOOKUP(B28,Sheet3!B:E,4,0)</f>
        <v>#N/A</v>
      </c>
      <c r="F28" s="11" t="s">
        <v>66</v>
      </c>
      <c r="G28" s="4"/>
    </row>
    <row r="29" spans="1:7" ht="23.1" customHeight="1" x14ac:dyDescent="0.25">
      <c r="A29" s="28"/>
      <c r="B29" s="68">
        <f>'Seating Plan'!F117</f>
        <v>0</v>
      </c>
      <c r="C29" s="20" t="e">
        <f>VLOOKUP(B29,Sheet3!B:E,2,0)</f>
        <v>#N/A</v>
      </c>
      <c r="D29" s="20" t="e">
        <f>VLOOKUP(B29,Sheet3!B:E,3,0)</f>
        <v>#N/A</v>
      </c>
      <c r="E29" s="20" t="e">
        <f>VLOOKUP(B29,Sheet3!B:E,4,0)</f>
        <v>#N/A</v>
      </c>
      <c r="F29" s="11" t="s">
        <v>67</v>
      </c>
      <c r="G29" s="4"/>
    </row>
    <row r="33" spans="1:7" ht="20.25" x14ac:dyDescent="0.3">
      <c r="A33" s="94" t="s">
        <v>24</v>
      </c>
      <c r="B33" s="94"/>
      <c r="C33" s="94"/>
      <c r="D33" s="94"/>
      <c r="E33" s="94"/>
      <c r="F33" s="94"/>
      <c r="G33" s="94"/>
    </row>
    <row r="34" spans="1:7" ht="20.25" x14ac:dyDescent="0.3">
      <c r="A34" s="94" t="s">
        <v>25</v>
      </c>
      <c r="B34" s="94"/>
      <c r="C34" s="94"/>
      <c r="D34" s="94"/>
      <c r="E34" s="94"/>
      <c r="F34" s="94"/>
      <c r="G34" s="94"/>
    </row>
    <row r="35" spans="1:7" x14ac:dyDescent="0.25">
      <c r="A35" s="82" t="s">
        <v>20</v>
      </c>
      <c r="B35" s="82"/>
      <c r="C35" s="82"/>
      <c r="D35" s="82"/>
      <c r="E35" s="82"/>
      <c r="F35" s="82"/>
      <c r="G35" s="82"/>
    </row>
    <row r="36" spans="1:7" x14ac:dyDescent="0.25">
      <c r="A36" s="82" t="s">
        <v>21</v>
      </c>
      <c r="B36" s="82"/>
      <c r="C36" s="82"/>
      <c r="D36" s="82"/>
      <c r="E36" s="82"/>
      <c r="F36" s="82"/>
      <c r="G36" s="82"/>
    </row>
    <row r="37" spans="1:7" x14ac:dyDescent="0.25">
      <c r="A37" s="82" t="s">
        <v>15</v>
      </c>
      <c r="B37" s="82"/>
      <c r="C37" s="82"/>
      <c r="D37" s="82"/>
      <c r="E37" s="82"/>
      <c r="F37" s="82"/>
      <c r="G37" s="82"/>
    </row>
    <row r="38" spans="1:7" x14ac:dyDescent="0.25">
      <c r="A38" s="82" t="s">
        <v>0</v>
      </c>
      <c r="B38" s="82"/>
      <c r="C38" s="82"/>
      <c r="D38" s="82"/>
      <c r="E38" s="82"/>
      <c r="F38" s="82"/>
      <c r="G38" s="82"/>
    </row>
    <row r="39" spans="1:7" x14ac:dyDescent="0.25">
      <c r="A39" s="2" t="s">
        <v>156</v>
      </c>
      <c r="C39" s="18" t="e">
        <f>VLOOKUP(D42,Sheet3!G:H,2,0)</f>
        <v>#N/A</v>
      </c>
      <c r="G39" s="10" t="str">
        <f>'Seating Plan'!D$3</f>
        <v>08.04.2026</v>
      </c>
    </row>
    <row r="40" spans="1:7" x14ac:dyDescent="0.25">
      <c r="G40" s="10" t="str">
        <f>'Seating Plan'!G$4</f>
        <v>Shift:I (10:00 to 11:00 AM)</v>
      </c>
    </row>
    <row r="41" spans="1:7" s="27" customFormat="1" ht="23.1" customHeight="1" x14ac:dyDescent="0.25">
      <c r="A41" s="26" t="s">
        <v>1</v>
      </c>
      <c r="B41" s="26" t="s">
        <v>3</v>
      </c>
      <c r="C41" s="26" t="s">
        <v>2</v>
      </c>
      <c r="D41" s="26" t="s">
        <v>19</v>
      </c>
      <c r="E41" s="26" t="s">
        <v>4</v>
      </c>
      <c r="F41" s="26" t="s">
        <v>18</v>
      </c>
      <c r="G41" s="26" t="s">
        <v>5</v>
      </c>
    </row>
    <row r="42" spans="1:7" s="27" customFormat="1" ht="23.1" customHeight="1" x14ac:dyDescent="0.25">
      <c r="A42" s="25"/>
      <c r="B42" s="68">
        <f>'Seating Plan'!H98</f>
        <v>0</v>
      </c>
      <c r="C42" s="20" t="e">
        <f>VLOOKUP(B42,Sheet3!B:E,2,0)</f>
        <v>#N/A</v>
      </c>
      <c r="D42" s="20" t="e">
        <f>VLOOKUP(B42,Sheet3!B:E,3,0)</f>
        <v>#N/A</v>
      </c>
      <c r="E42" s="20" t="e">
        <f>VLOOKUP(B42,Sheet3!B:E,4,0)</f>
        <v>#N/A</v>
      </c>
      <c r="F42" s="29" t="s">
        <v>47</v>
      </c>
      <c r="G42" s="30"/>
    </row>
    <row r="43" spans="1:7" s="27" customFormat="1" ht="23.1" customHeight="1" x14ac:dyDescent="0.25">
      <c r="A43" s="25"/>
      <c r="B43" s="68">
        <f>'Seating Plan'!H99</f>
        <v>0</v>
      </c>
      <c r="C43" s="20" t="e">
        <f>VLOOKUP(B43,Sheet3!B:E,2,0)</f>
        <v>#N/A</v>
      </c>
      <c r="D43" s="20" t="e">
        <f>VLOOKUP(B43,Sheet3!B:E,3,0)</f>
        <v>#N/A</v>
      </c>
      <c r="E43" s="20" t="e">
        <f>VLOOKUP(B43,Sheet3!B:E,4,0)</f>
        <v>#N/A</v>
      </c>
      <c r="F43" s="29" t="s">
        <v>48</v>
      </c>
      <c r="G43" s="30"/>
    </row>
    <row r="44" spans="1:7" s="27" customFormat="1" ht="23.1" customHeight="1" x14ac:dyDescent="0.25">
      <c r="A44" s="25"/>
      <c r="B44" s="68">
        <f>'Seating Plan'!H100</f>
        <v>0</v>
      </c>
      <c r="C44" s="20" t="e">
        <f>VLOOKUP(B44,Sheet3!B:E,2,0)</f>
        <v>#N/A</v>
      </c>
      <c r="D44" s="20" t="e">
        <f>VLOOKUP(B44,Sheet3!B:E,3,0)</f>
        <v>#N/A</v>
      </c>
      <c r="E44" s="20" t="e">
        <f>VLOOKUP(B44,Sheet3!B:E,4,0)</f>
        <v>#N/A</v>
      </c>
      <c r="F44" s="29" t="s">
        <v>49</v>
      </c>
      <c r="G44" s="30"/>
    </row>
    <row r="45" spans="1:7" s="27" customFormat="1" ht="23.1" customHeight="1" x14ac:dyDescent="0.25">
      <c r="A45" s="25"/>
      <c r="B45" s="68">
        <f>'Seating Plan'!H101</f>
        <v>0</v>
      </c>
      <c r="C45" s="20" t="e">
        <f>VLOOKUP(B45,Sheet3!B:E,2,0)</f>
        <v>#N/A</v>
      </c>
      <c r="D45" s="20" t="e">
        <f>VLOOKUP(B45,Sheet3!B:E,3,0)</f>
        <v>#N/A</v>
      </c>
      <c r="E45" s="20" t="e">
        <f>VLOOKUP(B45,Sheet3!B:E,4,0)</f>
        <v>#N/A</v>
      </c>
      <c r="F45" s="29" t="s">
        <v>50</v>
      </c>
      <c r="G45" s="30"/>
    </row>
    <row r="46" spans="1:7" s="27" customFormat="1" ht="23.1" customHeight="1" x14ac:dyDescent="0.25">
      <c r="A46" s="25"/>
      <c r="B46" s="68">
        <f>'Seating Plan'!H102</f>
        <v>0</v>
      </c>
      <c r="C46" s="20" t="e">
        <f>VLOOKUP(B46,Sheet3!B:E,2,0)</f>
        <v>#N/A</v>
      </c>
      <c r="D46" s="20" t="e">
        <f>VLOOKUP(B46,Sheet3!B:E,3,0)</f>
        <v>#N/A</v>
      </c>
      <c r="E46" s="20" t="e">
        <f>VLOOKUP(B46,Sheet3!B:E,4,0)</f>
        <v>#N/A</v>
      </c>
      <c r="F46" s="29" t="s">
        <v>51</v>
      </c>
      <c r="G46" s="30"/>
    </row>
    <row r="47" spans="1:7" s="27" customFormat="1" ht="23.1" customHeight="1" x14ac:dyDescent="0.25">
      <c r="A47" s="25"/>
      <c r="B47" s="68">
        <f>'Seating Plan'!H103</f>
        <v>0</v>
      </c>
      <c r="C47" s="20" t="e">
        <f>VLOOKUP(B47,Sheet3!B:E,2,0)</f>
        <v>#N/A</v>
      </c>
      <c r="D47" s="20" t="e">
        <f>VLOOKUP(B47,Sheet3!B:E,3,0)</f>
        <v>#N/A</v>
      </c>
      <c r="E47" s="20" t="e">
        <f>VLOOKUP(B47,Sheet3!B:E,4,0)</f>
        <v>#N/A</v>
      </c>
      <c r="F47" s="29" t="s">
        <v>46</v>
      </c>
      <c r="G47" s="30"/>
    </row>
    <row r="48" spans="1:7" s="27" customFormat="1" ht="23.1" customHeight="1" x14ac:dyDescent="0.25">
      <c r="A48" s="25"/>
      <c r="B48" s="68">
        <f>'Seating Plan'!H104</f>
        <v>0</v>
      </c>
      <c r="C48" s="20" t="e">
        <f>VLOOKUP(B48,Sheet3!B:E,2,0)</f>
        <v>#N/A</v>
      </c>
      <c r="D48" s="20" t="e">
        <f>VLOOKUP(B48,Sheet3!B:E,3,0)</f>
        <v>#N/A</v>
      </c>
      <c r="E48" s="20" t="e">
        <f>VLOOKUP(B48,Sheet3!B:E,4,0)</f>
        <v>#N/A</v>
      </c>
      <c r="F48" s="29" t="s">
        <v>52</v>
      </c>
      <c r="G48" s="30"/>
    </row>
    <row r="49" spans="1:7" s="27" customFormat="1" ht="23.1" customHeight="1" x14ac:dyDescent="0.25">
      <c r="A49" s="25"/>
      <c r="B49" s="68">
        <f>'Seating Plan'!H105</f>
        <v>0</v>
      </c>
      <c r="C49" s="20" t="e">
        <f>VLOOKUP(B49,Sheet3!B:E,2,0)</f>
        <v>#N/A</v>
      </c>
      <c r="D49" s="20" t="e">
        <f>VLOOKUP(B49,Sheet3!B:E,3,0)</f>
        <v>#N/A</v>
      </c>
      <c r="E49" s="20" t="e">
        <f>VLOOKUP(B49,Sheet3!B:E,4,0)</f>
        <v>#N/A</v>
      </c>
      <c r="F49" s="29" t="s">
        <v>53</v>
      </c>
      <c r="G49" s="30"/>
    </row>
    <row r="50" spans="1:7" s="27" customFormat="1" ht="23.1" customHeight="1" x14ac:dyDescent="0.25">
      <c r="A50" s="25"/>
      <c r="B50" s="68">
        <f>'Seating Plan'!H106</f>
        <v>0</v>
      </c>
      <c r="C50" s="20" t="e">
        <f>VLOOKUP(B50,Sheet3!B:E,2,0)</f>
        <v>#N/A</v>
      </c>
      <c r="D50" s="20" t="e">
        <f>VLOOKUP(B50,Sheet3!B:E,3,0)</f>
        <v>#N/A</v>
      </c>
      <c r="E50" s="20" t="e">
        <f>VLOOKUP(B50,Sheet3!B:E,4,0)</f>
        <v>#N/A</v>
      </c>
      <c r="F50" s="29" t="s">
        <v>54</v>
      </c>
      <c r="G50" s="30"/>
    </row>
    <row r="51" spans="1:7" s="27" customFormat="1" ht="23.1" customHeight="1" x14ac:dyDescent="0.25">
      <c r="A51" s="25"/>
      <c r="B51" s="68">
        <f>'Seating Plan'!H107</f>
        <v>0</v>
      </c>
      <c r="C51" s="20" t="e">
        <f>VLOOKUP(B51,Sheet3!B:E,2,0)</f>
        <v>#N/A</v>
      </c>
      <c r="D51" s="20" t="e">
        <f>VLOOKUP(B51,Sheet3!B:E,3,0)</f>
        <v>#N/A</v>
      </c>
      <c r="E51" s="20" t="e">
        <f>VLOOKUP(B51,Sheet3!B:E,4,0)</f>
        <v>#N/A</v>
      </c>
      <c r="F51" s="29" t="s">
        <v>55</v>
      </c>
      <c r="G51" s="30"/>
    </row>
    <row r="52" spans="1:7" s="27" customFormat="1" ht="23.1" customHeight="1" x14ac:dyDescent="0.25">
      <c r="A52" s="25"/>
      <c r="B52" s="68">
        <f>'Seating Plan'!H108</f>
        <v>0</v>
      </c>
      <c r="C52" s="20" t="e">
        <f>VLOOKUP(B52,Sheet3!B:E,2,0)</f>
        <v>#N/A</v>
      </c>
      <c r="D52" s="20" t="e">
        <f>VLOOKUP(B52,Sheet3!B:E,3,0)</f>
        <v>#N/A</v>
      </c>
      <c r="E52" s="20" t="e">
        <f>VLOOKUP(B52,Sheet3!B:E,4,0)</f>
        <v>#N/A</v>
      </c>
      <c r="F52" s="29" t="s">
        <v>56</v>
      </c>
      <c r="G52" s="30"/>
    </row>
    <row r="53" spans="1:7" s="27" customFormat="1" ht="23.1" customHeight="1" x14ac:dyDescent="0.25">
      <c r="A53" s="25"/>
      <c r="B53" s="68">
        <f>'Seating Plan'!H109</f>
        <v>0</v>
      </c>
      <c r="C53" s="20" t="e">
        <f>VLOOKUP(B53,Sheet3!B:E,2,0)</f>
        <v>#N/A</v>
      </c>
      <c r="D53" s="20" t="e">
        <f>VLOOKUP(B53,Sheet3!B:E,3,0)</f>
        <v>#N/A</v>
      </c>
      <c r="E53" s="20" t="e">
        <f>VLOOKUP(B53,Sheet3!B:E,4,0)</f>
        <v>#N/A</v>
      </c>
      <c r="F53" s="29" t="s">
        <v>57</v>
      </c>
      <c r="G53" s="30"/>
    </row>
    <row r="54" spans="1:7" s="27" customFormat="1" ht="23.1" customHeight="1" x14ac:dyDescent="0.25">
      <c r="A54" s="25"/>
      <c r="B54" s="68">
        <f>'Seating Plan'!H110</f>
        <v>0</v>
      </c>
      <c r="C54" s="20" t="e">
        <f>VLOOKUP(B54,Sheet3!B:E,2,0)</f>
        <v>#N/A</v>
      </c>
      <c r="D54" s="20" t="e">
        <f>VLOOKUP(B54,Sheet3!B:E,3,0)</f>
        <v>#N/A</v>
      </c>
      <c r="E54" s="20" t="e">
        <f>VLOOKUP(B54,Sheet3!B:E,4,0)</f>
        <v>#N/A</v>
      </c>
      <c r="F54" s="29" t="s">
        <v>58</v>
      </c>
      <c r="G54" s="30"/>
    </row>
    <row r="55" spans="1:7" s="27" customFormat="1" ht="23.1" customHeight="1" x14ac:dyDescent="0.25">
      <c r="A55" s="25"/>
      <c r="B55" s="68">
        <f>'Seating Plan'!H111</f>
        <v>0</v>
      </c>
      <c r="C55" s="20" t="e">
        <f>VLOOKUP(B55,Sheet3!B:E,2,0)</f>
        <v>#N/A</v>
      </c>
      <c r="D55" s="20" t="e">
        <f>VLOOKUP(B55,Sheet3!B:E,3,0)</f>
        <v>#N/A</v>
      </c>
      <c r="E55" s="20" t="e">
        <f>VLOOKUP(B55,Sheet3!B:E,4,0)</f>
        <v>#N/A</v>
      </c>
      <c r="F55" s="29" t="s">
        <v>59</v>
      </c>
      <c r="G55" s="30"/>
    </row>
    <row r="56" spans="1:7" s="27" customFormat="1" ht="23.1" customHeight="1" x14ac:dyDescent="0.25">
      <c r="A56" s="25"/>
      <c r="B56" s="68">
        <f>'Seating Plan'!H112</f>
        <v>0</v>
      </c>
      <c r="C56" s="20" t="e">
        <f>VLOOKUP(B56,Sheet3!B:E,2,0)</f>
        <v>#N/A</v>
      </c>
      <c r="D56" s="20" t="e">
        <f>VLOOKUP(B56,Sheet3!B:E,3,0)</f>
        <v>#N/A</v>
      </c>
      <c r="E56" s="20" t="e">
        <f>VLOOKUP(B56,Sheet3!B:E,4,0)</f>
        <v>#N/A</v>
      </c>
      <c r="F56" s="29" t="s">
        <v>60</v>
      </c>
      <c r="G56" s="30"/>
    </row>
    <row r="57" spans="1:7" s="27" customFormat="1" ht="23.1" customHeight="1" x14ac:dyDescent="0.25">
      <c r="A57" s="25"/>
      <c r="B57" s="68">
        <f>'Seating Plan'!H113</f>
        <v>0</v>
      </c>
      <c r="C57" s="20" t="e">
        <f>VLOOKUP(B57,Sheet3!B:E,2,0)</f>
        <v>#N/A</v>
      </c>
      <c r="D57" s="20" t="e">
        <f>VLOOKUP(B57,Sheet3!B:E,3,0)</f>
        <v>#N/A</v>
      </c>
      <c r="E57" s="20" t="e">
        <f>VLOOKUP(B57,Sheet3!B:E,4,0)</f>
        <v>#N/A</v>
      </c>
      <c r="F57" s="29" t="s">
        <v>61</v>
      </c>
      <c r="G57" s="30"/>
    </row>
    <row r="58" spans="1:7" s="27" customFormat="1" ht="23.1" customHeight="1" x14ac:dyDescent="0.25">
      <c r="A58" s="25"/>
      <c r="B58" s="68">
        <f>'Seating Plan'!H114</f>
        <v>0</v>
      </c>
      <c r="C58" s="20" t="e">
        <f>VLOOKUP(B58,Sheet3!B:E,2,0)</f>
        <v>#N/A</v>
      </c>
      <c r="D58" s="20" t="e">
        <f>VLOOKUP(B58,Sheet3!B:E,3,0)</f>
        <v>#N/A</v>
      </c>
      <c r="E58" s="20" t="e">
        <f>VLOOKUP(B58,Sheet3!B:E,4,0)</f>
        <v>#N/A</v>
      </c>
      <c r="F58" s="29" t="s">
        <v>82</v>
      </c>
      <c r="G58" s="30"/>
    </row>
    <row r="59" spans="1:7" s="27" customFormat="1" ht="23.1" customHeight="1" x14ac:dyDescent="0.25">
      <c r="A59" s="25"/>
      <c r="B59" s="68">
        <f>'Seating Plan'!H115</f>
        <v>0</v>
      </c>
      <c r="C59" s="20" t="e">
        <f>VLOOKUP(B59,Sheet3!B:E,2,0)</f>
        <v>#N/A</v>
      </c>
      <c r="D59" s="20" t="e">
        <f>VLOOKUP(B59,Sheet3!B:E,3,0)</f>
        <v>#N/A</v>
      </c>
      <c r="E59" s="20" t="e">
        <f>VLOOKUP(B59,Sheet3!B:E,4,0)</f>
        <v>#N/A</v>
      </c>
      <c r="F59" s="29" t="s">
        <v>83</v>
      </c>
      <c r="G59" s="30"/>
    </row>
    <row r="60" spans="1:7" s="27" customFormat="1" ht="23.1" customHeight="1" x14ac:dyDescent="0.25">
      <c r="A60" s="25"/>
      <c r="B60" s="68">
        <f>'Seating Plan'!H116</f>
        <v>0</v>
      </c>
      <c r="C60" s="20" t="e">
        <f>VLOOKUP(B60,Sheet3!B:E,2,0)</f>
        <v>#N/A</v>
      </c>
      <c r="D60" s="20" t="e">
        <f>VLOOKUP(B60,Sheet3!B:E,3,0)</f>
        <v>#N/A</v>
      </c>
      <c r="E60" s="20" t="e">
        <f>VLOOKUP(B60,Sheet3!B:E,4,0)</f>
        <v>#N/A</v>
      </c>
      <c r="F60" s="29" t="s">
        <v>84</v>
      </c>
      <c r="G60" s="30"/>
    </row>
    <row r="61" spans="1:7" s="27" customFormat="1" ht="23.1" customHeight="1" x14ac:dyDescent="0.25">
      <c r="A61" s="25"/>
      <c r="B61" s="68">
        <f>'Seating Plan'!H117</f>
        <v>0</v>
      </c>
      <c r="C61" s="20" t="e">
        <f>VLOOKUP(B61,Sheet3!B:E,2,0)</f>
        <v>#N/A</v>
      </c>
      <c r="D61" s="20" t="e">
        <f>VLOOKUP(B61,Sheet3!B:E,3,0)</f>
        <v>#N/A</v>
      </c>
      <c r="E61" s="20" t="e">
        <f>VLOOKUP(B61,Sheet3!B:E,4,0)</f>
        <v>#N/A</v>
      </c>
      <c r="F61" s="29" t="s">
        <v>85</v>
      </c>
      <c r="G61" s="30"/>
    </row>
    <row r="62" spans="1:7" s="27" customFormat="1" ht="23.1" hidden="1" customHeight="1" x14ac:dyDescent="0.25">
      <c r="A62" s="25"/>
      <c r="B62" s="32"/>
      <c r="C62" s="20" t="e">
        <f>VLOOKUP(B62,Sheet3!B:E,2,0)</f>
        <v>#N/A</v>
      </c>
      <c r="D62" s="29"/>
      <c r="E62" s="29"/>
      <c r="F62" s="29"/>
      <c r="G62" s="30"/>
    </row>
    <row r="63" spans="1:7" s="27" customFormat="1" ht="23.1" hidden="1" customHeight="1" x14ac:dyDescent="0.25">
      <c r="A63" s="25"/>
      <c r="B63" s="32"/>
      <c r="C63" s="20" t="e">
        <f>VLOOKUP(B63,Sheet3!B:E,2,0)</f>
        <v>#N/A</v>
      </c>
      <c r="D63" s="29"/>
      <c r="E63" s="29"/>
      <c r="F63" s="29"/>
      <c r="G63" s="30"/>
    </row>
  </sheetData>
  <mergeCells count="12">
    <mergeCell ref="A38:G38"/>
    <mergeCell ref="A1:G1"/>
    <mergeCell ref="A2:G2"/>
    <mergeCell ref="A3:G3"/>
    <mergeCell ref="A4:G4"/>
    <mergeCell ref="A5:G5"/>
    <mergeCell ref="A6:G6"/>
    <mergeCell ref="A33:G33"/>
    <mergeCell ref="A34:G34"/>
    <mergeCell ref="A35:G35"/>
    <mergeCell ref="A36:G36"/>
    <mergeCell ref="A37:G37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orientation="portrait" r:id="rId1"/>
  <headerFooter>
    <oddFooter>&amp;L
Technical Staff Name and Sign&amp;C
Total Present:
Total Absent:&amp;R
Invigilator Name and Sign
Invigilator Name and Sign</oddFooter>
  </headerFooter>
  <rowBreaks count="1" manualBreakCount="1">
    <brk id="32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211B-6AC2-4767-9C0C-34A356AA5930}">
  <dimension ref="A1:G86"/>
  <sheetViews>
    <sheetView topLeftCell="A37" zoomScaleNormal="100" workbookViewId="0">
      <selection activeCell="A51" sqref="A51"/>
    </sheetView>
  </sheetViews>
  <sheetFormatPr defaultColWidth="8.85546875" defaultRowHeight="15" x14ac:dyDescent="0.25"/>
  <cols>
    <col min="1" max="1" width="6.42578125" bestFit="1" customWidth="1"/>
    <col min="2" max="2" width="15.28515625" customWidth="1"/>
    <col min="3" max="3" width="26.42578125" customWidth="1"/>
    <col min="4" max="4" width="12.85546875" bestFit="1" customWidth="1"/>
    <col min="5" max="5" width="9.85546875" bestFit="1" customWidth="1"/>
    <col min="6" max="6" width="7.85546875" bestFit="1" customWidth="1"/>
    <col min="7" max="7" width="17.7109375" customWidth="1"/>
  </cols>
  <sheetData>
    <row r="1" spans="1:7" ht="20.25" x14ac:dyDescent="0.3">
      <c r="A1" s="94" t="s">
        <v>24</v>
      </c>
      <c r="B1" s="94"/>
      <c r="C1" s="94"/>
      <c r="D1" s="94"/>
      <c r="E1" s="94"/>
      <c r="F1" s="94"/>
      <c r="G1" s="94"/>
    </row>
    <row r="2" spans="1:7" ht="20.25" x14ac:dyDescent="0.3">
      <c r="A2" s="94" t="s">
        <v>25</v>
      </c>
      <c r="B2" s="94"/>
      <c r="C2" s="94"/>
      <c r="D2" s="94"/>
      <c r="E2" s="94"/>
      <c r="F2" s="94"/>
      <c r="G2" s="94"/>
    </row>
    <row r="3" spans="1:7" x14ac:dyDescent="0.25">
      <c r="A3" s="82" t="s">
        <v>20</v>
      </c>
      <c r="B3" s="82"/>
      <c r="C3" s="82"/>
      <c r="D3" s="82"/>
      <c r="E3" s="82"/>
      <c r="F3" s="82"/>
      <c r="G3" s="82"/>
    </row>
    <row r="4" spans="1:7" x14ac:dyDescent="0.25">
      <c r="A4" s="82" t="s">
        <v>21</v>
      </c>
      <c r="B4" s="82"/>
      <c r="C4" s="82"/>
      <c r="D4" s="82"/>
      <c r="E4" s="82"/>
      <c r="F4" s="82"/>
      <c r="G4" s="82"/>
    </row>
    <row r="5" spans="1:7" x14ac:dyDescent="0.25">
      <c r="A5" s="83" t="s">
        <v>114</v>
      </c>
      <c r="B5" s="82"/>
      <c r="C5" s="82"/>
      <c r="D5" s="82"/>
      <c r="E5" s="82"/>
      <c r="F5" s="82"/>
      <c r="G5" s="82"/>
    </row>
    <row r="6" spans="1:7" x14ac:dyDescent="0.25">
      <c r="A6" s="82" t="s">
        <v>0</v>
      </c>
      <c r="B6" s="82"/>
      <c r="C6" s="82"/>
      <c r="D6" s="82"/>
      <c r="E6" s="82"/>
      <c r="F6" s="82"/>
      <c r="G6" s="82"/>
    </row>
    <row r="7" spans="1:7" x14ac:dyDescent="0.25">
      <c r="A7" s="2" t="s">
        <v>156</v>
      </c>
      <c r="B7" s="1"/>
      <c r="C7" s="18" t="e">
        <f>VLOOKUP(D10,Sheet3!G:H,2,0)</f>
        <v>#N/A</v>
      </c>
      <c r="D7" s="1"/>
      <c r="E7" s="1"/>
      <c r="F7" s="1"/>
      <c r="G7" s="10" t="str">
        <f>'Seating Plan'!D$3</f>
        <v>08.04.2026</v>
      </c>
    </row>
    <row r="8" spans="1:7" x14ac:dyDescent="0.25">
      <c r="A8" s="1"/>
      <c r="B8" s="1"/>
      <c r="C8" s="1"/>
      <c r="D8" s="1"/>
      <c r="E8" s="1"/>
      <c r="F8" s="1"/>
      <c r="G8" s="10" t="str">
        <f>'Seating Plan'!G$4</f>
        <v>Shift:I (10:00 to 11:00 AM)</v>
      </c>
    </row>
    <row r="9" spans="1:7" ht="24.95" customHeight="1" x14ac:dyDescent="0.25">
      <c r="A9" s="5" t="s">
        <v>1</v>
      </c>
      <c r="B9" s="5" t="s">
        <v>3</v>
      </c>
      <c r="C9" s="5" t="s">
        <v>2</v>
      </c>
      <c r="D9" s="5" t="s">
        <v>19</v>
      </c>
      <c r="E9" s="5" t="s">
        <v>4</v>
      </c>
      <c r="F9" s="5" t="s">
        <v>18</v>
      </c>
      <c r="G9" s="5" t="s">
        <v>5</v>
      </c>
    </row>
    <row r="10" spans="1:7" ht="24.95" customHeight="1" x14ac:dyDescent="0.25">
      <c r="A10" s="3"/>
      <c r="B10" s="68">
        <f>'Seating Plan'!F118</f>
        <v>0</v>
      </c>
      <c r="C10" s="20" t="e">
        <f>VLOOKUP(B10,Sheet3!B:E,2,0)</f>
        <v>#N/A</v>
      </c>
      <c r="D10" s="20" t="e">
        <f>VLOOKUP(B10,Sheet3!B:E,3,0)</f>
        <v>#N/A</v>
      </c>
      <c r="E10" s="20" t="e">
        <f>VLOOKUP(B10,Sheet3!B:E,4,0)</f>
        <v>#N/A</v>
      </c>
      <c r="F10" s="9" t="s">
        <v>32</v>
      </c>
      <c r="G10" s="4"/>
    </row>
    <row r="11" spans="1:7" ht="24.95" customHeight="1" x14ac:dyDescent="0.25">
      <c r="A11" s="3"/>
      <c r="B11" s="68">
        <f>'Seating Plan'!F119</f>
        <v>0</v>
      </c>
      <c r="C11" s="20" t="e">
        <f>VLOOKUP(B11,Sheet3!B:E,2,0)</f>
        <v>#N/A</v>
      </c>
      <c r="D11" s="20" t="e">
        <f>VLOOKUP(B11,Sheet3!B:E,3,0)</f>
        <v>#N/A</v>
      </c>
      <c r="E11" s="20" t="e">
        <f>VLOOKUP(B11,Sheet3!B:E,4,0)</f>
        <v>#N/A</v>
      </c>
      <c r="F11" s="9" t="s">
        <v>33</v>
      </c>
      <c r="G11" s="4"/>
    </row>
    <row r="12" spans="1:7" ht="24.95" customHeight="1" x14ac:dyDescent="0.25">
      <c r="A12" s="3"/>
      <c r="B12" s="68">
        <f>'Seating Plan'!F120</f>
        <v>0</v>
      </c>
      <c r="C12" s="20" t="e">
        <f>VLOOKUP(B12,Sheet3!B:E,2,0)</f>
        <v>#N/A</v>
      </c>
      <c r="D12" s="20" t="e">
        <f>VLOOKUP(B12,Sheet3!B:E,3,0)</f>
        <v>#N/A</v>
      </c>
      <c r="E12" s="20" t="e">
        <f>VLOOKUP(B12,Sheet3!B:E,4,0)</f>
        <v>#N/A</v>
      </c>
      <c r="F12" s="9" t="s">
        <v>34</v>
      </c>
      <c r="G12" s="4"/>
    </row>
    <row r="13" spans="1:7" ht="24.95" customHeight="1" x14ac:dyDescent="0.25">
      <c r="A13" s="3"/>
      <c r="B13" s="68">
        <f>'Seating Plan'!F121</f>
        <v>0</v>
      </c>
      <c r="C13" s="20" t="e">
        <f>VLOOKUP(B13,Sheet3!B:E,2,0)</f>
        <v>#N/A</v>
      </c>
      <c r="D13" s="20" t="e">
        <f>VLOOKUP(B13,Sheet3!B:E,3,0)</f>
        <v>#N/A</v>
      </c>
      <c r="E13" s="20" t="e">
        <f>VLOOKUP(B13,Sheet3!B:E,4,0)</f>
        <v>#N/A</v>
      </c>
      <c r="F13" s="9" t="s">
        <v>35</v>
      </c>
      <c r="G13" s="4"/>
    </row>
    <row r="14" spans="1:7" ht="24.95" customHeight="1" x14ac:dyDescent="0.25">
      <c r="A14" s="3"/>
      <c r="B14" s="68">
        <f>'Seating Plan'!F122</f>
        <v>0</v>
      </c>
      <c r="C14" s="20" t="e">
        <f>VLOOKUP(B14,Sheet3!B:E,2,0)</f>
        <v>#N/A</v>
      </c>
      <c r="D14" s="20" t="e">
        <f>VLOOKUP(B14,Sheet3!B:E,3,0)</f>
        <v>#N/A</v>
      </c>
      <c r="E14" s="20" t="e">
        <f>VLOOKUP(B14,Sheet3!B:E,4,0)</f>
        <v>#N/A</v>
      </c>
      <c r="F14" s="9" t="s">
        <v>36</v>
      </c>
      <c r="G14" s="4"/>
    </row>
    <row r="15" spans="1:7" ht="24.95" customHeight="1" x14ac:dyDescent="0.25">
      <c r="A15" s="3"/>
      <c r="B15" s="68">
        <f>'Seating Plan'!F123</f>
        <v>0</v>
      </c>
      <c r="C15" s="20" t="e">
        <f>VLOOKUP(B15,Sheet3!B:E,2,0)</f>
        <v>#N/A</v>
      </c>
      <c r="D15" s="20" t="e">
        <f>VLOOKUP(B15,Sheet3!B:E,3,0)</f>
        <v>#N/A</v>
      </c>
      <c r="E15" s="20" t="e">
        <f>VLOOKUP(B15,Sheet3!B:E,4,0)</f>
        <v>#N/A</v>
      </c>
      <c r="F15" s="9" t="s">
        <v>37</v>
      </c>
      <c r="G15" s="4"/>
    </row>
    <row r="16" spans="1:7" ht="24.95" customHeight="1" x14ac:dyDescent="0.25">
      <c r="A16" s="3"/>
      <c r="B16" s="68">
        <f>'Seating Plan'!F124</f>
        <v>0</v>
      </c>
      <c r="C16" s="20" t="e">
        <f>VLOOKUP(B16,Sheet3!B:E,2,0)</f>
        <v>#N/A</v>
      </c>
      <c r="D16" s="20" t="e">
        <f>VLOOKUP(B16,Sheet3!B:E,3,0)</f>
        <v>#N/A</v>
      </c>
      <c r="E16" s="20" t="e">
        <f>VLOOKUP(B16,Sheet3!B:E,4,0)</f>
        <v>#N/A</v>
      </c>
      <c r="F16" s="9" t="s">
        <v>38</v>
      </c>
      <c r="G16" s="4"/>
    </row>
    <row r="17" spans="1:7" ht="24.95" customHeight="1" x14ac:dyDescent="0.25">
      <c r="A17" s="3"/>
      <c r="B17" s="68">
        <f>'Seating Plan'!F125</f>
        <v>0</v>
      </c>
      <c r="C17" s="20" t="e">
        <f>VLOOKUP(B17,Sheet3!B:E,2,0)</f>
        <v>#N/A</v>
      </c>
      <c r="D17" s="20" t="e">
        <f>VLOOKUP(B17,Sheet3!B:E,3,0)</f>
        <v>#N/A</v>
      </c>
      <c r="E17" s="20" t="e">
        <f>VLOOKUP(B17,Sheet3!B:E,4,0)</f>
        <v>#N/A</v>
      </c>
      <c r="F17" s="9" t="s">
        <v>39</v>
      </c>
      <c r="G17" s="4"/>
    </row>
    <row r="18" spans="1:7" ht="24.95" customHeight="1" x14ac:dyDescent="0.25">
      <c r="A18" s="3"/>
      <c r="B18" s="68">
        <f>'Seating Plan'!F126</f>
        <v>0</v>
      </c>
      <c r="C18" s="20" t="e">
        <f>VLOOKUP(B18,Sheet3!B:E,2,0)</f>
        <v>#N/A</v>
      </c>
      <c r="D18" s="20" t="e">
        <f>VLOOKUP(B18,Sheet3!B:E,3,0)</f>
        <v>#N/A</v>
      </c>
      <c r="E18" s="20" t="e">
        <f>VLOOKUP(B18,Sheet3!B:E,4,0)</f>
        <v>#N/A</v>
      </c>
      <c r="F18" s="9" t="s">
        <v>40</v>
      </c>
      <c r="G18" s="20"/>
    </row>
    <row r="19" spans="1:7" ht="24.95" customHeight="1" x14ac:dyDescent="0.25">
      <c r="A19" s="3"/>
      <c r="B19" s="68">
        <f>'Seating Plan'!F127</f>
        <v>0</v>
      </c>
      <c r="C19" s="20" t="e">
        <f>VLOOKUP(B19,Sheet3!B:E,2,0)</f>
        <v>#N/A</v>
      </c>
      <c r="D19" s="20" t="e">
        <f>VLOOKUP(B19,Sheet3!B:E,3,0)</f>
        <v>#N/A</v>
      </c>
      <c r="E19" s="20" t="e">
        <f>VLOOKUP(B19,Sheet3!B:E,4,0)</f>
        <v>#N/A</v>
      </c>
      <c r="F19" s="9" t="s">
        <v>41</v>
      </c>
      <c r="G19" s="20"/>
    </row>
    <row r="20" spans="1:7" ht="24.95" customHeight="1" x14ac:dyDescent="0.25">
      <c r="A20" s="3"/>
      <c r="B20" s="68">
        <f>'Seating Plan'!F128</f>
        <v>0</v>
      </c>
      <c r="C20" s="20" t="e">
        <f>VLOOKUP(B20,Sheet3!B:E,2,0)</f>
        <v>#N/A</v>
      </c>
      <c r="D20" s="20" t="e">
        <f>VLOOKUP(B20,Sheet3!B:E,3,0)</f>
        <v>#N/A</v>
      </c>
      <c r="E20" s="20" t="e">
        <f>VLOOKUP(B20,Sheet3!B:E,4,0)</f>
        <v>#N/A</v>
      </c>
      <c r="F20" s="9" t="s">
        <v>42</v>
      </c>
      <c r="G20" s="20"/>
    </row>
    <row r="21" spans="1:7" ht="24.95" customHeight="1" x14ac:dyDescent="0.25">
      <c r="A21" s="3"/>
      <c r="B21" s="68">
        <f>'Seating Plan'!F129</f>
        <v>0</v>
      </c>
      <c r="C21" s="20" t="e">
        <f>VLOOKUP(B21,Sheet3!B:E,2,0)</f>
        <v>#N/A</v>
      </c>
      <c r="D21" s="20" t="e">
        <f>VLOOKUP(B21,Sheet3!B:E,3,0)</f>
        <v>#N/A</v>
      </c>
      <c r="E21" s="20" t="e">
        <f>VLOOKUP(B21,Sheet3!B:E,4,0)</f>
        <v>#N/A</v>
      </c>
      <c r="F21" s="9" t="s">
        <v>43</v>
      </c>
      <c r="G21" s="20"/>
    </row>
    <row r="22" spans="1:7" ht="24.95" customHeight="1" x14ac:dyDescent="0.25">
      <c r="A22" s="3"/>
      <c r="B22" s="68">
        <f>'Seating Plan'!F130</f>
        <v>0</v>
      </c>
      <c r="C22" s="20" t="e">
        <f>VLOOKUP(B22,Sheet3!B:E,2,0)</f>
        <v>#N/A</v>
      </c>
      <c r="D22" s="20" t="e">
        <f>VLOOKUP(B22,Sheet3!B:E,3,0)</f>
        <v>#N/A</v>
      </c>
      <c r="E22" s="20" t="e">
        <f>VLOOKUP(B22,Sheet3!B:E,4,0)</f>
        <v>#N/A</v>
      </c>
      <c r="F22" s="9" t="s">
        <v>44</v>
      </c>
      <c r="G22" s="20"/>
    </row>
    <row r="23" spans="1:7" ht="24.95" customHeight="1" x14ac:dyDescent="0.25">
      <c r="A23" s="3"/>
      <c r="B23" s="68">
        <f>'Seating Plan'!F131</f>
        <v>0</v>
      </c>
      <c r="C23" s="20" t="e">
        <f>VLOOKUP(B23,Sheet3!B:E,2,0)</f>
        <v>#N/A</v>
      </c>
      <c r="D23" s="20" t="e">
        <f>VLOOKUP(B23,Sheet3!B:E,3,0)</f>
        <v>#N/A</v>
      </c>
      <c r="E23" s="20" t="e">
        <f>VLOOKUP(B23,Sheet3!B:E,4,0)</f>
        <v>#N/A</v>
      </c>
      <c r="F23" s="9" t="s">
        <v>45</v>
      </c>
      <c r="G23" s="20"/>
    </row>
    <row r="24" spans="1:7" ht="24.95" customHeight="1" x14ac:dyDescent="0.25">
      <c r="A24" s="3"/>
      <c r="B24" s="68">
        <f>'Seating Plan'!F132</f>
        <v>0</v>
      </c>
      <c r="C24" s="20" t="e">
        <f>VLOOKUP(B24,Sheet3!B:E,2,0)</f>
        <v>#N/A</v>
      </c>
      <c r="D24" s="20" t="e">
        <f>VLOOKUP(B24,Sheet3!B:E,3,0)</f>
        <v>#N/A</v>
      </c>
      <c r="E24" s="20" t="e">
        <f>VLOOKUP(B24,Sheet3!B:E,4,0)</f>
        <v>#N/A</v>
      </c>
      <c r="F24" s="9" t="s">
        <v>62</v>
      </c>
      <c r="G24" s="20"/>
    </row>
    <row r="25" spans="1:7" ht="24.95" customHeight="1" x14ac:dyDescent="0.25">
      <c r="A25" s="3"/>
      <c r="B25" s="68">
        <f>'Seating Plan'!F133</f>
        <v>0</v>
      </c>
      <c r="C25" s="20" t="e">
        <f>VLOOKUP(B25,Sheet3!B:E,2,0)</f>
        <v>#N/A</v>
      </c>
      <c r="D25" s="20" t="e">
        <f>VLOOKUP(B25,Sheet3!B:E,3,0)</f>
        <v>#N/A</v>
      </c>
      <c r="E25" s="20" t="e">
        <f>VLOOKUP(B25,Sheet3!B:E,4,0)</f>
        <v>#N/A</v>
      </c>
      <c r="F25" s="9" t="s">
        <v>63</v>
      </c>
      <c r="G25" s="20"/>
    </row>
    <row r="26" spans="1:7" ht="24.95" customHeight="1" x14ac:dyDescent="0.25">
      <c r="A26" s="3"/>
      <c r="B26" s="68">
        <f>'Seating Plan'!F134</f>
        <v>0</v>
      </c>
      <c r="C26" s="20" t="e">
        <f>VLOOKUP(B26,Sheet3!B:E,2,0)</f>
        <v>#N/A</v>
      </c>
      <c r="D26" s="20" t="e">
        <f>VLOOKUP(B26,Sheet3!B:E,3,0)</f>
        <v>#N/A</v>
      </c>
      <c r="E26" s="20" t="e">
        <f>VLOOKUP(B26,Sheet3!B:E,4,0)</f>
        <v>#N/A</v>
      </c>
      <c r="F26" s="9" t="s">
        <v>64</v>
      </c>
      <c r="G26" s="20"/>
    </row>
    <row r="27" spans="1:7" ht="24.95" customHeight="1" x14ac:dyDescent="0.25">
      <c r="A27" s="3"/>
      <c r="B27" s="68">
        <f>'Seating Plan'!F135</f>
        <v>0</v>
      </c>
      <c r="C27" s="20" t="e">
        <f>VLOOKUP(B27,Sheet3!B:E,2,0)</f>
        <v>#N/A</v>
      </c>
      <c r="D27" s="20" t="e">
        <f>VLOOKUP(B27,Sheet3!B:E,3,0)</f>
        <v>#N/A</v>
      </c>
      <c r="E27" s="20" t="e">
        <f>VLOOKUP(B27,Sheet3!B:E,4,0)</f>
        <v>#N/A</v>
      </c>
      <c r="F27" s="9" t="s">
        <v>65</v>
      </c>
      <c r="G27" s="20"/>
    </row>
    <row r="28" spans="1:7" ht="24.95" customHeight="1" x14ac:dyDescent="0.25">
      <c r="A28" s="3"/>
      <c r="B28" s="68">
        <f>'Seating Plan'!F136</f>
        <v>0</v>
      </c>
      <c r="C28" s="20" t="e">
        <f>VLOOKUP(B28,Sheet3!B:E,2,0)</f>
        <v>#N/A</v>
      </c>
      <c r="D28" s="20" t="e">
        <f>VLOOKUP(B28,Sheet3!B:E,3,0)</f>
        <v>#N/A</v>
      </c>
      <c r="E28" s="20" t="e">
        <f>VLOOKUP(B28,Sheet3!B:E,4,0)</f>
        <v>#N/A</v>
      </c>
      <c r="F28" s="9" t="s">
        <v>66</v>
      </c>
      <c r="G28" s="20"/>
    </row>
    <row r="29" spans="1:7" ht="24.95" customHeight="1" x14ac:dyDescent="0.25">
      <c r="A29" s="3"/>
      <c r="B29" s="68">
        <f>'Seating Plan'!F137</f>
        <v>0</v>
      </c>
      <c r="C29" s="20" t="e">
        <f>VLOOKUP(B29,Sheet3!B:E,2,0)</f>
        <v>#N/A</v>
      </c>
      <c r="D29" s="20" t="e">
        <f>VLOOKUP(B29,Sheet3!B:E,3,0)</f>
        <v>#N/A</v>
      </c>
      <c r="E29" s="20" t="e">
        <f>VLOOKUP(B29,Sheet3!B:E,4,0)</f>
        <v>#N/A</v>
      </c>
      <c r="F29" s="9" t="s">
        <v>67</v>
      </c>
      <c r="G29" s="20"/>
    </row>
    <row r="30" spans="1:7" ht="24.95" customHeight="1" x14ac:dyDescent="0.25">
      <c r="A30" s="3"/>
      <c r="B30" s="68">
        <f>'Seating Plan'!F138</f>
        <v>0</v>
      </c>
      <c r="C30" s="20" t="e">
        <f>VLOOKUP(B30,Sheet3!B:E,2,0)</f>
        <v>#N/A</v>
      </c>
      <c r="D30" s="20" t="e">
        <f>VLOOKUP(B30,Sheet3!B:E,3,0)</f>
        <v>#N/A</v>
      </c>
      <c r="E30" s="20" t="e">
        <f>VLOOKUP(B30,Sheet3!B:E,4,0)</f>
        <v>#N/A</v>
      </c>
      <c r="F30" s="9" t="s">
        <v>68</v>
      </c>
      <c r="G30" s="20"/>
    </row>
    <row r="31" spans="1:7" ht="24.95" customHeight="1" x14ac:dyDescent="0.25">
      <c r="A31" s="3"/>
      <c r="B31" s="68">
        <f>'Seating Plan'!F139</f>
        <v>0</v>
      </c>
      <c r="C31" s="20" t="e">
        <f>VLOOKUP(B31,Sheet3!B:E,2,0)</f>
        <v>#N/A</v>
      </c>
      <c r="D31" s="20" t="e">
        <f>VLOOKUP(B31,Sheet3!B:E,3,0)</f>
        <v>#N/A</v>
      </c>
      <c r="E31" s="20" t="e">
        <f>VLOOKUP(B31,Sheet3!B:E,4,0)</f>
        <v>#N/A</v>
      </c>
      <c r="F31" s="9" t="s">
        <v>69</v>
      </c>
      <c r="G31" s="20"/>
    </row>
    <row r="32" spans="1:7" ht="24.95" customHeight="1" x14ac:dyDescent="0.25">
      <c r="A32" s="3"/>
      <c r="B32" s="68">
        <f>'Seating Plan'!F140</f>
        <v>0</v>
      </c>
      <c r="C32" s="20" t="e">
        <f>VLOOKUP(B32,Sheet3!B:E,2,0)</f>
        <v>#N/A</v>
      </c>
      <c r="D32" s="20" t="e">
        <f>VLOOKUP(B32,Sheet3!B:E,3,0)</f>
        <v>#N/A</v>
      </c>
      <c r="E32" s="20" t="e">
        <f>VLOOKUP(B32,Sheet3!B:E,4,0)</f>
        <v>#N/A</v>
      </c>
      <c r="F32" s="9" t="s">
        <v>70</v>
      </c>
      <c r="G32" s="20"/>
    </row>
    <row r="33" spans="1:7" ht="24.95" customHeight="1" x14ac:dyDescent="0.25">
      <c r="A33" s="3"/>
      <c r="B33" s="68">
        <f>'Seating Plan'!F141</f>
        <v>0</v>
      </c>
      <c r="C33" s="20" t="e">
        <f>VLOOKUP(B33,Sheet3!B:E,2,0)</f>
        <v>#N/A</v>
      </c>
      <c r="D33" s="20" t="e">
        <f>VLOOKUP(B33,Sheet3!B:E,3,0)</f>
        <v>#N/A</v>
      </c>
      <c r="E33" s="20" t="e">
        <f>VLOOKUP(B33,Sheet3!B:E,4,0)</f>
        <v>#N/A</v>
      </c>
      <c r="F33" s="9" t="s">
        <v>71</v>
      </c>
      <c r="G33" s="20"/>
    </row>
    <row r="34" spans="1:7" ht="24.95" customHeight="1" x14ac:dyDescent="0.25">
      <c r="A34" s="3"/>
      <c r="B34" s="68">
        <f>'Seating Plan'!F142</f>
        <v>0</v>
      </c>
      <c r="C34" s="20" t="e">
        <f>VLOOKUP(B34,Sheet3!B:E,2,0)</f>
        <v>#N/A</v>
      </c>
      <c r="D34" s="20" t="e">
        <f>VLOOKUP(B34,Sheet3!B:E,3,0)</f>
        <v>#N/A</v>
      </c>
      <c r="E34" s="20" t="e">
        <f>VLOOKUP(B34,Sheet3!B:E,4,0)</f>
        <v>#N/A</v>
      </c>
      <c r="F34" s="9" t="s">
        <v>72</v>
      </c>
      <c r="G34" s="20"/>
    </row>
    <row r="35" spans="1:7" ht="24.95" customHeight="1" x14ac:dyDescent="0.25">
      <c r="A35" s="3"/>
      <c r="B35" s="68">
        <f>'Seating Plan'!F143</f>
        <v>0</v>
      </c>
      <c r="C35" s="20" t="e">
        <f>VLOOKUP(B35,Sheet3!B:E,2,0)</f>
        <v>#N/A</v>
      </c>
      <c r="D35" s="20" t="e">
        <f>VLOOKUP(B35,Sheet3!B:E,3,0)</f>
        <v>#N/A</v>
      </c>
      <c r="E35" s="20" t="e">
        <f>VLOOKUP(B35,Sheet3!B:E,4,0)</f>
        <v>#N/A</v>
      </c>
      <c r="F35" s="9" t="s">
        <v>73</v>
      </c>
      <c r="G35" s="20"/>
    </row>
    <row r="36" spans="1:7" ht="24.95" customHeight="1" x14ac:dyDescent="0.25">
      <c r="A36" s="3"/>
      <c r="B36" s="68">
        <f>'Seating Plan'!F144</f>
        <v>0</v>
      </c>
      <c r="C36" s="20" t="e">
        <f>VLOOKUP(B36,Sheet3!B:E,2,0)</f>
        <v>#N/A</v>
      </c>
      <c r="D36" s="20" t="e">
        <f>VLOOKUP(B36,Sheet3!B:E,3,0)</f>
        <v>#N/A</v>
      </c>
      <c r="E36" s="20" t="e">
        <f>VLOOKUP(B36,Sheet3!B:E,4,0)</f>
        <v>#N/A</v>
      </c>
      <c r="F36" s="9" t="s">
        <v>74</v>
      </c>
      <c r="G36" s="20"/>
    </row>
    <row r="37" spans="1:7" ht="24.95" customHeight="1" x14ac:dyDescent="0.25">
      <c r="A37" s="3"/>
      <c r="B37" s="68">
        <f>'Seating Plan'!F145</f>
        <v>0</v>
      </c>
      <c r="C37" s="20" t="e">
        <f>VLOOKUP(B37,Sheet3!B:E,2,0)</f>
        <v>#N/A</v>
      </c>
      <c r="D37" s="20" t="e">
        <f>VLOOKUP(B37,Sheet3!B:E,3,0)</f>
        <v>#N/A</v>
      </c>
      <c r="E37" s="20" t="e">
        <f>VLOOKUP(B37,Sheet3!B:E,4,0)</f>
        <v>#N/A</v>
      </c>
      <c r="F37" s="9" t="s">
        <v>75</v>
      </c>
      <c r="G37" s="20"/>
    </row>
    <row r="38" spans="1:7" ht="24.95" customHeight="1" x14ac:dyDescent="0.25">
      <c r="A38" s="3"/>
      <c r="B38" s="68">
        <f>'Seating Plan'!F146</f>
        <v>0</v>
      </c>
      <c r="C38" s="20" t="e">
        <f>VLOOKUP(B38,Sheet3!B:E,2,0)</f>
        <v>#N/A</v>
      </c>
      <c r="D38" s="20" t="e">
        <f>VLOOKUP(B38,Sheet3!B:E,3,0)</f>
        <v>#N/A</v>
      </c>
      <c r="E38" s="20" t="e">
        <f>VLOOKUP(B38,Sheet3!B:E,4,0)</f>
        <v>#N/A</v>
      </c>
      <c r="F38" s="9" t="s">
        <v>76</v>
      </c>
      <c r="G38" s="20"/>
    </row>
    <row r="39" spans="1:7" ht="24.95" customHeight="1" x14ac:dyDescent="0.25">
      <c r="A39" s="3"/>
      <c r="B39" s="68">
        <f>'Seating Plan'!F147</f>
        <v>0</v>
      </c>
      <c r="C39" s="20" t="e">
        <f>VLOOKUP(B39,Sheet3!B:E,2,0)</f>
        <v>#N/A</v>
      </c>
      <c r="D39" s="20" t="e">
        <f>VLOOKUP(B39,Sheet3!B:E,3,0)</f>
        <v>#N/A</v>
      </c>
      <c r="E39" s="20" t="e">
        <f>VLOOKUP(B39,Sheet3!B:E,4,0)</f>
        <v>#N/A</v>
      </c>
      <c r="F39" s="9" t="s">
        <v>77</v>
      </c>
      <c r="G39" s="20"/>
    </row>
    <row r="40" spans="1:7" ht="24.95" customHeight="1" x14ac:dyDescent="0.25">
      <c r="A40" s="3"/>
      <c r="B40" s="68">
        <f>'Seating Plan'!F148</f>
        <v>0</v>
      </c>
      <c r="C40" s="20" t="e">
        <f>VLOOKUP(B40,Sheet3!B:E,2,0)</f>
        <v>#N/A</v>
      </c>
      <c r="D40" s="20" t="e">
        <f>VLOOKUP(B40,Sheet3!B:E,3,0)</f>
        <v>#N/A</v>
      </c>
      <c r="E40" s="20" t="e">
        <f>VLOOKUP(B40,Sheet3!B:E,4,0)</f>
        <v>#N/A</v>
      </c>
      <c r="F40" s="9" t="s">
        <v>78</v>
      </c>
      <c r="G40" s="20"/>
    </row>
    <row r="41" spans="1:7" ht="24.95" customHeight="1" x14ac:dyDescent="0.25">
      <c r="A41" s="3"/>
      <c r="B41" s="68">
        <f>'Seating Plan'!F149</f>
        <v>0</v>
      </c>
      <c r="C41" s="20" t="e">
        <f>VLOOKUP(B41,Sheet3!B:E,2,0)</f>
        <v>#N/A</v>
      </c>
      <c r="D41" s="20" t="e">
        <f>VLOOKUP(B41,Sheet3!B:E,3,0)</f>
        <v>#N/A</v>
      </c>
      <c r="E41" s="20" t="e">
        <f>VLOOKUP(B41,Sheet3!B:E,4,0)</f>
        <v>#N/A</v>
      </c>
      <c r="F41" s="9" t="s">
        <v>79</v>
      </c>
      <c r="G41" s="20"/>
    </row>
    <row r="42" spans="1:7" ht="24.95" customHeight="1" x14ac:dyDescent="0.25">
      <c r="A42" s="3"/>
      <c r="B42" s="68">
        <f>'Seating Plan'!F150</f>
        <v>0</v>
      </c>
      <c r="C42" s="20" t="e">
        <f>VLOOKUP(B42,Sheet3!B:E,2,0)</f>
        <v>#N/A</v>
      </c>
      <c r="D42" s="20" t="e">
        <f>VLOOKUP(B42,Sheet3!B:E,3,0)</f>
        <v>#N/A</v>
      </c>
      <c r="E42" s="20" t="e">
        <f>VLOOKUP(B42,Sheet3!B:E,4,0)</f>
        <v>#N/A</v>
      </c>
      <c r="F42" s="9" t="s">
        <v>80</v>
      </c>
      <c r="G42" s="20"/>
    </row>
    <row r="45" spans="1:7" ht="20.25" x14ac:dyDescent="0.3">
      <c r="A45" s="94" t="s">
        <v>24</v>
      </c>
      <c r="B45" s="94"/>
      <c r="C45" s="94"/>
      <c r="D45" s="94"/>
      <c r="E45" s="94"/>
      <c r="F45" s="94"/>
      <c r="G45" s="94"/>
    </row>
    <row r="46" spans="1:7" ht="20.25" x14ac:dyDescent="0.3">
      <c r="A46" s="94" t="s">
        <v>25</v>
      </c>
      <c r="B46" s="94"/>
      <c r="C46" s="94"/>
      <c r="D46" s="94"/>
      <c r="E46" s="94"/>
      <c r="F46" s="94"/>
      <c r="G46" s="94"/>
    </row>
    <row r="47" spans="1:7" x14ac:dyDescent="0.25">
      <c r="A47" s="82" t="s">
        <v>20</v>
      </c>
      <c r="B47" s="82"/>
      <c r="C47" s="82"/>
      <c r="D47" s="82"/>
      <c r="E47" s="82"/>
      <c r="F47" s="82"/>
      <c r="G47" s="82"/>
    </row>
    <row r="48" spans="1:7" x14ac:dyDescent="0.25">
      <c r="A48" s="82" t="s">
        <v>21</v>
      </c>
      <c r="B48" s="82"/>
      <c r="C48" s="82"/>
      <c r="D48" s="82"/>
      <c r="E48" s="82"/>
      <c r="F48" s="82"/>
      <c r="G48" s="82"/>
    </row>
    <row r="49" spans="1:7" x14ac:dyDescent="0.25">
      <c r="A49" s="83" t="s">
        <v>114</v>
      </c>
      <c r="B49" s="82"/>
      <c r="C49" s="82"/>
      <c r="D49" s="82"/>
      <c r="E49" s="82"/>
      <c r="F49" s="82"/>
      <c r="G49" s="82"/>
    </row>
    <row r="50" spans="1:7" x14ac:dyDescent="0.25">
      <c r="A50" s="82" t="s">
        <v>0</v>
      </c>
      <c r="B50" s="82"/>
      <c r="C50" s="82"/>
      <c r="D50" s="82"/>
      <c r="E50" s="82"/>
      <c r="F50" s="82"/>
      <c r="G50" s="82"/>
    </row>
    <row r="51" spans="1:7" x14ac:dyDescent="0.25">
      <c r="A51" s="2" t="s">
        <v>156</v>
      </c>
      <c r="B51" s="1"/>
      <c r="C51" s="18" t="e">
        <f>VLOOKUP(D54,Sheet3!G:H,2,0)</f>
        <v>#N/A</v>
      </c>
      <c r="D51" s="1"/>
      <c r="E51" s="1"/>
      <c r="F51" s="1"/>
      <c r="G51" s="10" t="str">
        <f>'Seating Plan'!D$3</f>
        <v>08.04.2026</v>
      </c>
    </row>
    <row r="52" spans="1:7" x14ac:dyDescent="0.25">
      <c r="A52" s="1"/>
      <c r="B52" s="1"/>
      <c r="C52" s="1"/>
      <c r="D52" s="1"/>
      <c r="E52" s="1"/>
      <c r="F52" s="1"/>
      <c r="G52" s="10" t="str">
        <f>'Seating Plan'!G$4</f>
        <v>Shift:I (10:00 to 11:00 AM)</v>
      </c>
    </row>
    <row r="53" spans="1:7" ht="24.95" customHeight="1" x14ac:dyDescent="0.25">
      <c r="A53" s="5" t="s">
        <v>1</v>
      </c>
      <c r="B53" s="5" t="s">
        <v>3</v>
      </c>
      <c r="C53" s="5" t="s">
        <v>2</v>
      </c>
      <c r="D53" s="5" t="s">
        <v>19</v>
      </c>
      <c r="E53" s="5" t="s">
        <v>4</v>
      </c>
      <c r="F53" s="5" t="s">
        <v>18</v>
      </c>
      <c r="G53" s="5" t="s">
        <v>5</v>
      </c>
    </row>
    <row r="54" spans="1:7" ht="24.95" customHeight="1" x14ac:dyDescent="0.25">
      <c r="A54" s="3"/>
      <c r="B54" s="68">
        <f>'Seating Plan'!H118</f>
        <v>0</v>
      </c>
      <c r="C54" s="20" t="e">
        <f>VLOOKUP(B54,Sheet3!B:E,2,0)</f>
        <v>#N/A</v>
      </c>
      <c r="D54" s="20" t="e">
        <f>VLOOKUP(B54,Sheet3!B:E,3,0)</f>
        <v>#N/A</v>
      </c>
      <c r="E54" s="20" t="e">
        <f>VLOOKUP(B54,Sheet3!B:E,4,0)</f>
        <v>#N/A</v>
      </c>
      <c r="F54" s="9" t="s">
        <v>47</v>
      </c>
      <c r="G54" s="4"/>
    </row>
    <row r="55" spans="1:7" ht="24.95" customHeight="1" x14ac:dyDescent="0.25">
      <c r="A55" s="3"/>
      <c r="B55" s="68">
        <f>'Seating Plan'!H119</f>
        <v>0</v>
      </c>
      <c r="C55" s="20" t="e">
        <f>VLOOKUP(B55,Sheet3!B:E,2,0)</f>
        <v>#N/A</v>
      </c>
      <c r="D55" s="20" t="e">
        <f>VLOOKUP(B55,Sheet3!B:E,3,0)</f>
        <v>#N/A</v>
      </c>
      <c r="E55" s="20" t="e">
        <f>VLOOKUP(B55,Sheet3!B:E,4,0)</f>
        <v>#N/A</v>
      </c>
      <c r="F55" s="9" t="s">
        <v>48</v>
      </c>
      <c r="G55" s="4"/>
    </row>
    <row r="56" spans="1:7" ht="24.95" customHeight="1" x14ac:dyDescent="0.25">
      <c r="A56" s="3"/>
      <c r="B56" s="68">
        <f>'Seating Plan'!H120</f>
        <v>0</v>
      </c>
      <c r="C56" s="20" t="e">
        <f>VLOOKUP(B56,Sheet3!B:E,2,0)</f>
        <v>#N/A</v>
      </c>
      <c r="D56" s="20" t="e">
        <f>VLOOKUP(B56,Sheet3!B:E,3,0)</f>
        <v>#N/A</v>
      </c>
      <c r="E56" s="20" t="e">
        <f>VLOOKUP(B56,Sheet3!B:E,4,0)</f>
        <v>#N/A</v>
      </c>
      <c r="F56" s="9" t="s">
        <v>49</v>
      </c>
      <c r="G56" s="4"/>
    </row>
    <row r="57" spans="1:7" ht="24.95" customHeight="1" x14ac:dyDescent="0.25">
      <c r="A57" s="3"/>
      <c r="B57" s="68">
        <f>'Seating Plan'!H121</f>
        <v>0</v>
      </c>
      <c r="C57" s="20" t="e">
        <f>VLOOKUP(B57,Sheet3!B:E,2,0)</f>
        <v>#N/A</v>
      </c>
      <c r="D57" s="20" t="e">
        <f>VLOOKUP(B57,Sheet3!B:E,3,0)</f>
        <v>#N/A</v>
      </c>
      <c r="E57" s="20" t="e">
        <f>VLOOKUP(B57,Sheet3!B:E,4,0)</f>
        <v>#N/A</v>
      </c>
      <c r="F57" s="9" t="s">
        <v>50</v>
      </c>
      <c r="G57" s="4"/>
    </row>
    <row r="58" spans="1:7" ht="24.95" customHeight="1" x14ac:dyDescent="0.25">
      <c r="A58" s="3"/>
      <c r="B58" s="68">
        <f>'Seating Plan'!H122</f>
        <v>0</v>
      </c>
      <c r="C58" s="20" t="e">
        <f>VLOOKUP(B58,Sheet3!B:E,2,0)</f>
        <v>#N/A</v>
      </c>
      <c r="D58" s="20" t="e">
        <f>VLOOKUP(B58,Sheet3!B:E,3,0)</f>
        <v>#N/A</v>
      </c>
      <c r="E58" s="20" t="e">
        <f>VLOOKUP(B58,Sheet3!B:E,4,0)</f>
        <v>#N/A</v>
      </c>
      <c r="F58" s="9" t="s">
        <v>51</v>
      </c>
      <c r="G58" s="4"/>
    </row>
    <row r="59" spans="1:7" ht="24.95" customHeight="1" x14ac:dyDescent="0.25">
      <c r="A59" s="3"/>
      <c r="B59" s="68">
        <f>'Seating Plan'!H123</f>
        <v>0</v>
      </c>
      <c r="C59" s="20" t="e">
        <f>VLOOKUP(B59,Sheet3!B:E,2,0)</f>
        <v>#N/A</v>
      </c>
      <c r="D59" s="20" t="e">
        <f>VLOOKUP(B59,Sheet3!B:E,3,0)</f>
        <v>#N/A</v>
      </c>
      <c r="E59" s="20" t="e">
        <f>VLOOKUP(B59,Sheet3!B:E,4,0)</f>
        <v>#N/A</v>
      </c>
      <c r="F59" s="9" t="s">
        <v>46</v>
      </c>
      <c r="G59" s="4"/>
    </row>
    <row r="60" spans="1:7" ht="24.95" customHeight="1" x14ac:dyDescent="0.25">
      <c r="A60" s="3"/>
      <c r="B60" s="68">
        <f>'Seating Plan'!H124</f>
        <v>0</v>
      </c>
      <c r="C60" s="20" t="e">
        <f>VLOOKUP(B60,Sheet3!B:E,2,0)</f>
        <v>#N/A</v>
      </c>
      <c r="D60" s="20" t="e">
        <f>VLOOKUP(B60,Sheet3!B:E,3,0)</f>
        <v>#N/A</v>
      </c>
      <c r="E60" s="20" t="e">
        <f>VLOOKUP(B60,Sheet3!B:E,4,0)</f>
        <v>#N/A</v>
      </c>
      <c r="F60" s="9" t="s">
        <v>52</v>
      </c>
      <c r="G60" s="4"/>
    </row>
    <row r="61" spans="1:7" ht="24.95" customHeight="1" x14ac:dyDescent="0.25">
      <c r="A61" s="3"/>
      <c r="B61" s="68">
        <f>'Seating Plan'!H125</f>
        <v>0</v>
      </c>
      <c r="C61" s="20" t="e">
        <f>VLOOKUP(B61,Sheet3!B:E,2,0)</f>
        <v>#N/A</v>
      </c>
      <c r="D61" s="20" t="e">
        <f>VLOOKUP(B61,Sheet3!B:E,3,0)</f>
        <v>#N/A</v>
      </c>
      <c r="E61" s="20" t="e">
        <f>VLOOKUP(B61,Sheet3!B:E,4,0)</f>
        <v>#N/A</v>
      </c>
      <c r="F61" s="9" t="s">
        <v>53</v>
      </c>
      <c r="G61" s="4"/>
    </row>
    <row r="62" spans="1:7" ht="24.95" customHeight="1" x14ac:dyDescent="0.25">
      <c r="A62" s="3"/>
      <c r="B62" s="68">
        <f>'Seating Plan'!H126</f>
        <v>0</v>
      </c>
      <c r="C62" s="20" t="e">
        <f>VLOOKUP(B62,Sheet3!B:E,2,0)</f>
        <v>#N/A</v>
      </c>
      <c r="D62" s="20" t="e">
        <f>VLOOKUP(B62,Sheet3!B:E,3,0)</f>
        <v>#N/A</v>
      </c>
      <c r="E62" s="20" t="e">
        <f>VLOOKUP(B62,Sheet3!B:E,4,0)</f>
        <v>#N/A</v>
      </c>
      <c r="F62" s="9" t="s">
        <v>54</v>
      </c>
      <c r="G62" s="20"/>
    </row>
    <row r="63" spans="1:7" ht="24.95" customHeight="1" x14ac:dyDescent="0.25">
      <c r="A63" s="3"/>
      <c r="B63" s="68">
        <f>'Seating Plan'!H127</f>
        <v>0</v>
      </c>
      <c r="C63" s="20" t="e">
        <f>VLOOKUP(B63,Sheet3!B:E,2,0)</f>
        <v>#N/A</v>
      </c>
      <c r="D63" s="20" t="e">
        <f>VLOOKUP(B63,Sheet3!B:E,3,0)</f>
        <v>#N/A</v>
      </c>
      <c r="E63" s="20" t="e">
        <f>VLOOKUP(B63,Sheet3!B:E,4,0)</f>
        <v>#N/A</v>
      </c>
      <c r="F63" s="9" t="s">
        <v>55</v>
      </c>
      <c r="G63" s="20"/>
    </row>
    <row r="64" spans="1:7" ht="24.95" customHeight="1" x14ac:dyDescent="0.25">
      <c r="A64" s="3"/>
      <c r="B64" s="68">
        <f>'Seating Plan'!H128</f>
        <v>0</v>
      </c>
      <c r="C64" s="20" t="e">
        <f>VLOOKUP(B64,Sheet3!B:E,2,0)</f>
        <v>#N/A</v>
      </c>
      <c r="D64" s="20" t="e">
        <f>VLOOKUP(B64,Sheet3!B:E,3,0)</f>
        <v>#N/A</v>
      </c>
      <c r="E64" s="20" t="e">
        <f>VLOOKUP(B64,Sheet3!B:E,4,0)</f>
        <v>#N/A</v>
      </c>
      <c r="F64" s="9" t="s">
        <v>56</v>
      </c>
      <c r="G64" s="20"/>
    </row>
    <row r="65" spans="1:7" ht="24.95" customHeight="1" x14ac:dyDescent="0.25">
      <c r="A65" s="3"/>
      <c r="B65" s="68">
        <f>'Seating Plan'!H129</f>
        <v>0</v>
      </c>
      <c r="C65" s="20" t="e">
        <f>VLOOKUP(B65,Sheet3!B:E,2,0)</f>
        <v>#N/A</v>
      </c>
      <c r="D65" s="20" t="e">
        <f>VLOOKUP(B65,Sheet3!B:E,3,0)</f>
        <v>#N/A</v>
      </c>
      <c r="E65" s="20" t="e">
        <f>VLOOKUP(B65,Sheet3!B:E,4,0)</f>
        <v>#N/A</v>
      </c>
      <c r="F65" s="9" t="s">
        <v>57</v>
      </c>
      <c r="G65" s="20"/>
    </row>
    <row r="66" spans="1:7" ht="24.95" customHeight="1" x14ac:dyDescent="0.25">
      <c r="A66" s="3"/>
      <c r="B66" s="68">
        <f>'Seating Plan'!H130</f>
        <v>0</v>
      </c>
      <c r="C66" s="20" t="e">
        <f>VLOOKUP(B66,Sheet3!B:E,2,0)</f>
        <v>#N/A</v>
      </c>
      <c r="D66" s="20" t="e">
        <f>VLOOKUP(B66,Sheet3!B:E,3,0)</f>
        <v>#N/A</v>
      </c>
      <c r="E66" s="20" t="e">
        <f>VLOOKUP(B66,Sheet3!B:E,4,0)</f>
        <v>#N/A</v>
      </c>
      <c r="F66" s="9" t="s">
        <v>58</v>
      </c>
      <c r="G66" s="20"/>
    </row>
    <row r="67" spans="1:7" ht="24.95" customHeight="1" x14ac:dyDescent="0.25">
      <c r="A67" s="3"/>
      <c r="B67" s="68">
        <f>'Seating Plan'!H131</f>
        <v>0</v>
      </c>
      <c r="C67" s="20" t="e">
        <f>VLOOKUP(B67,Sheet3!B:E,2,0)</f>
        <v>#N/A</v>
      </c>
      <c r="D67" s="20" t="e">
        <f>VLOOKUP(B67,Sheet3!B:E,3,0)</f>
        <v>#N/A</v>
      </c>
      <c r="E67" s="20" t="e">
        <f>VLOOKUP(B67,Sheet3!B:E,4,0)</f>
        <v>#N/A</v>
      </c>
      <c r="F67" s="9" t="s">
        <v>59</v>
      </c>
      <c r="G67" s="20"/>
    </row>
    <row r="68" spans="1:7" ht="24.95" customHeight="1" x14ac:dyDescent="0.25">
      <c r="A68" s="3"/>
      <c r="B68" s="68">
        <f>'Seating Plan'!H132</f>
        <v>0</v>
      </c>
      <c r="C68" s="20" t="e">
        <f>VLOOKUP(B68,Sheet3!B:E,2,0)</f>
        <v>#N/A</v>
      </c>
      <c r="D68" s="20" t="e">
        <f>VLOOKUP(B68,Sheet3!B:E,3,0)</f>
        <v>#N/A</v>
      </c>
      <c r="E68" s="20" t="e">
        <f>VLOOKUP(B68,Sheet3!B:E,4,0)</f>
        <v>#N/A</v>
      </c>
      <c r="F68" s="9" t="s">
        <v>60</v>
      </c>
      <c r="G68" s="20"/>
    </row>
    <row r="69" spans="1:7" ht="24.95" customHeight="1" x14ac:dyDescent="0.25">
      <c r="A69" s="3"/>
      <c r="B69" s="68">
        <f>'Seating Plan'!H133</f>
        <v>0</v>
      </c>
      <c r="C69" s="20" t="e">
        <f>VLOOKUP(B69,Sheet3!B:E,2,0)</f>
        <v>#N/A</v>
      </c>
      <c r="D69" s="20" t="e">
        <f>VLOOKUP(B69,Sheet3!B:E,3,0)</f>
        <v>#N/A</v>
      </c>
      <c r="E69" s="20" t="e">
        <f>VLOOKUP(B69,Sheet3!B:E,4,0)</f>
        <v>#N/A</v>
      </c>
      <c r="F69" s="9" t="s">
        <v>61</v>
      </c>
      <c r="G69" s="20"/>
    </row>
    <row r="70" spans="1:7" ht="24.95" customHeight="1" x14ac:dyDescent="0.25">
      <c r="A70" s="3"/>
      <c r="B70" s="68">
        <f>'Seating Plan'!H134</f>
        <v>0</v>
      </c>
      <c r="C70" s="20" t="e">
        <f>VLOOKUP(B70,Sheet3!B:E,2,0)</f>
        <v>#N/A</v>
      </c>
      <c r="D70" s="20" t="e">
        <f>VLOOKUP(B70,Sheet3!B:E,3,0)</f>
        <v>#N/A</v>
      </c>
      <c r="E70" s="20" t="e">
        <f>VLOOKUP(B70,Sheet3!B:E,4,0)</f>
        <v>#N/A</v>
      </c>
      <c r="F70" s="9" t="s">
        <v>82</v>
      </c>
      <c r="G70" s="20"/>
    </row>
    <row r="71" spans="1:7" ht="24.95" customHeight="1" x14ac:dyDescent="0.25">
      <c r="A71" s="3"/>
      <c r="B71" s="68">
        <f>'Seating Plan'!H135</f>
        <v>0</v>
      </c>
      <c r="C71" s="20" t="e">
        <f>VLOOKUP(B71,Sheet3!B:E,2,0)</f>
        <v>#N/A</v>
      </c>
      <c r="D71" s="20" t="e">
        <f>VLOOKUP(B71,Sheet3!B:E,3,0)</f>
        <v>#N/A</v>
      </c>
      <c r="E71" s="20" t="e">
        <f>VLOOKUP(B71,Sheet3!B:E,4,0)</f>
        <v>#N/A</v>
      </c>
      <c r="F71" s="9" t="s">
        <v>83</v>
      </c>
      <c r="G71" s="20"/>
    </row>
    <row r="72" spans="1:7" ht="24.95" customHeight="1" x14ac:dyDescent="0.25">
      <c r="A72" s="3"/>
      <c r="B72" s="68">
        <f>'Seating Plan'!H136</f>
        <v>0</v>
      </c>
      <c r="C72" s="20" t="e">
        <f>VLOOKUP(B72,Sheet3!B:E,2,0)</f>
        <v>#N/A</v>
      </c>
      <c r="D72" s="20" t="e">
        <f>VLOOKUP(B72,Sheet3!B:E,3,0)</f>
        <v>#N/A</v>
      </c>
      <c r="E72" s="20" t="e">
        <f>VLOOKUP(B72,Sheet3!B:E,4,0)</f>
        <v>#N/A</v>
      </c>
      <c r="F72" s="9" t="s">
        <v>84</v>
      </c>
      <c r="G72" s="20"/>
    </row>
    <row r="73" spans="1:7" ht="24.95" customHeight="1" x14ac:dyDescent="0.25">
      <c r="A73" s="3"/>
      <c r="B73" s="68">
        <f>'Seating Plan'!H137</f>
        <v>0</v>
      </c>
      <c r="C73" s="20" t="e">
        <f>VLOOKUP(B73,Sheet3!B:E,2,0)</f>
        <v>#N/A</v>
      </c>
      <c r="D73" s="20" t="e">
        <f>VLOOKUP(B73,Sheet3!B:E,3,0)</f>
        <v>#N/A</v>
      </c>
      <c r="E73" s="20" t="e">
        <f>VLOOKUP(B73,Sheet3!B:E,4,0)</f>
        <v>#N/A</v>
      </c>
      <c r="F73" s="9" t="s">
        <v>85</v>
      </c>
      <c r="G73" s="20"/>
    </row>
    <row r="74" spans="1:7" ht="24.95" customHeight="1" x14ac:dyDescent="0.25">
      <c r="A74" s="3"/>
      <c r="B74" s="68">
        <f>'Seating Plan'!H138</f>
        <v>0</v>
      </c>
      <c r="C74" s="20" t="e">
        <f>VLOOKUP(B74,Sheet3!B:E,2,0)</f>
        <v>#N/A</v>
      </c>
      <c r="D74" s="20" t="e">
        <f>VLOOKUP(B74,Sheet3!B:E,3,0)</f>
        <v>#N/A</v>
      </c>
      <c r="E74" s="20" t="e">
        <f>VLOOKUP(B74,Sheet3!B:E,4,0)</f>
        <v>#N/A</v>
      </c>
      <c r="F74" s="9" t="s">
        <v>86</v>
      </c>
      <c r="G74" s="20"/>
    </row>
    <row r="75" spans="1:7" ht="24.95" customHeight="1" x14ac:dyDescent="0.25">
      <c r="A75" s="3"/>
      <c r="B75" s="68">
        <f>'Seating Plan'!H139</f>
        <v>0</v>
      </c>
      <c r="C75" s="20" t="e">
        <f>VLOOKUP(B75,Sheet3!B:E,2,0)</f>
        <v>#N/A</v>
      </c>
      <c r="D75" s="20" t="e">
        <f>VLOOKUP(B75,Sheet3!B:E,3,0)</f>
        <v>#N/A</v>
      </c>
      <c r="E75" s="20" t="e">
        <f>VLOOKUP(B75,Sheet3!B:E,4,0)</f>
        <v>#N/A</v>
      </c>
      <c r="F75" s="9" t="s">
        <v>87</v>
      </c>
      <c r="G75" s="20"/>
    </row>
    <row r="76" spans="1:7" ht="24.95" customHeight="1" x14ac:dyDescent="0.25">
      <c r="A76" s="3"/>
      <c r="B76" s="68">
        <f>'Seating Plan'!H140</f>
        <v>0</v>
      </c>
      <c r="C76" s="20" t="e">
        <f>VLOOKUP(B76,Sheet3!B:E,2,0)</f>
        <v>#N/A</v>
      </c>
      <c r="D76" s="20" t="e">
        <f>VLOOKUP(B76,Sheet3!B:E,3,0)</f>
        <v>#N/A</v>
      </c>
      <c r="E76" s="20" t="e">
        <f>VLOOKUP(B76,Sheet3!B:E,4,0)</f>
        <v>#N/A</v>
      </c>
      <c r="F76" s="9" t="s">
        <v>88</v>
      </c>
      <c r="G76" s="20"/>
    </row>
    <row r="77" spans="1:7" ht="24.95" customHeight="1" x14ac:dyDescent="0.25">
      <c r="A77" s="3"/>
      <c r="B77" s="68">
        <f>'Seating Plan'!H141</f>
        <v>0</v>
      </c>
      <c r="C77" s="20" t="e">
        <f>VLOOKUP(B77,Sheet3!B:E,2,0)</f>
        <v>#N/A</v>
      </c>
      <c r="D77" s="20" t="e">
        <f>VLOOKUP(B77,Sheet3!B:E,3,0)</f>
        <v>#N/A</v>
      </c>
      <c r="E77" s="20" t="e">
        <f>VLOOKUP(B77,Sheet3!B:E,4,0)</f>
        <v>#N/A</v>
      </c>
      <c r="F77" s="9" t="s">
        <v>89</v>
      </c>
      <c r="G77" s="20"/>
    </row>
    <row r="78" spans="1:7" ht="24.95" customHeight="1" x14ac:dyDescent="0.25">
      <c r="A78" s="3"/>
      <c r="B78" s="68">
        <f>'Seating Plan'!H142</f>
        <v>0</v>
      </c>
      <c r="C78" s="20" t="e">
        <f>VLOOKUP(B78,Sheet3!B:E,2,0)</f>
        <v>#N/A</v>
      </c>
      <c r="D78" s="20" t="e">
        <f>VLOOKUP(B78,Sheet3!B:E,3,0)</f>
        <v>#N/A</v>
      </c>
      <c r="E78" s="20" t="e">
        <f>VLOOKUP(B78,Sheet3!B:E,4,0)</f>
        <v>#N/A</v>
      </c>
      <c r="F78" s="9" t="s">
        <v>90</v>
      </c>
      <c r="G78" s="20"/>
    </row>
    <row r="79" spans="1:7" ht="24.95" customHeight="1" x14ac:dyDescent="0.25">
      <c r="A79" s="3"/>
      <c r="B79" s="68">
        <f>'Seating Plan'!H143</f>
        <v>0</v>
      </c>
      <c r="C79" s="20" t="e">
        <f>VLOOKUP(B79,Sheet3!B:E,2,0)</f>
        <v>#N/A</v>
      </c>
      <c r="D79" s="20" t="e">
        <f>VLOOKUP(B79,Sheet3!B:E,3,0)</f>
        <v>#N/A</v>
      </c>
      <c r="E79" s="20" t="e">
        <f>VLOOKUP(B79,Sheet3!B:E,4,0)</f>
        <v>#N/A</v>
      </c>
      <c r="F79" s="9" t="s">
        <v>91</v>
      </c>
      <c r="G79" s="20"/>
    </row>
    <row r="80" spans="1:7" ht="24.95" customHeight="1" x14ac:dyDescent="0.25">
      <c r="A80" s="3"/>
      <c r="B80" s="68">
        <f>'Seating Plan'!H144</f>
        <v>0</v>
      </c>
      <c r="C80" s="20" t="e">
        <f>VLOOKUP(B80,Sheet3!B:E,2,0)</f>
        <v>#N/A</v>
      </c>
      <c r="D80" s="20" t="e">
        <f>VLOOKUP(B80,Sheet3!B:E,3,0)</f>
        <v>#N/A</v>
      </c>
      <c r="E80" s="20" t="e">
        <f>VLOOKUP(B80,Sheet3!B:E,4,0)</f>
        <v>#N/A</v>
      </c>
      <c r="F80" s="9" t="s">
        <v>92</v>
      </c>
      <c r="G80" s="20"/>
    </row>
    <row r="81" spans="1:7" ht="24.95" customHeight="1" x14ac:dyDescent="0.25">
      <c r="A81" s="3"/>
      <c r="B81" s="68">
        <f>'Seating Plan'!H145</f>
        <v>0</v>
      </c>
      <c r="C81" s="20" t="e">
        <f>VLOOKUP(B81,Sheet3!B:E,2,0)</f>
        <v>#N/A</v>
      </c>
      <c r="D81" s="20" t="e">
        <f>VLOOKUP(B81,Sheet3!B:E,3,0)</f>
        <v>#N/A</v>
      </c>
      <c r="E81" s="20" t="e">
        <f>VLOOKUP(B81,Sheet3!B:E,4,0)</f>
        <v>#N/A</v>
      </c>
      <c r="F81" s="9" t="s">
        <v>93</v>
      </c>
      <c r="G81" s="20"/>
    </row>
    <row r="82" spans="1:7" ht="24.95" customHeight="1" x14ac:dyDescent="0.25">
      <c r="A82" s="3"/>
      <c r="B82" s="68">
        <f>'Seating Plan'!H146</f>
        <v>0</v>
      </c>
      <c r="C82" s="20" t="e">
        <f>VLOOKUP(B82,Sheet3!B:E,2,0)</f>
        <v>#N/A</v>
      </c>
      <c r="D82" s="20" t="e">
        <f>VLOOKUP(B82,Sheet3!B:E,3,0)</f>
        <v>#N/A</v>
      </c>
      <c r="E82" s="20" t="e">
        <f>VLOOKUP(B82,Sheet3!B:E,4,0)</f>
        <v>#N/A</v>
      </c>
      <c r="F82" s="9" t="s">
        <v>94</v>
      </c>
      <c r="G82" s="20"/>
    </row>
    <row r="83" spans="1:7" ht="24.95" customHeight="1" x14ac:dyDescent="0.25">
      <c r="A83" s="3"/>
      <c r="B83" s="68">
        <f>'Seating Plan'!H147</f>
        <v>0</v>
      </c>
      <c r="C83" s="20" t="e">
        <f>VLOOKUP(B83,Sheet3!B:E,2,0)</f>
        <v>#N/A</v>
      </c>
      <c r="D83" s="20" t="e">
        <f>VLOOKUP(B83,Sheet3!B:E,3,0)</f>
        <v>#N/A</v>
      </c>
      <c r="E83" s="20" t="e">
        <f>VLOOKUP(B83,Sheet3!B:E,4,0)</f>
        <v>#N/A</v>
      </c>
      <c r="F83" s="9" t="s">
        <v>95</v>
      </c>
      <c r="G83" s="20"/>
    </row>
    <row r="84" spans="1:7" ht="24.95" customHeight="1" x14ac:dyDescent="0.25">
      <c r="A84" s="3"/>
      <c r="B84" s="68">
        <f>'Seating Plan'!H148</f>
        <v>0</v>
      </c>
      <c r="C84" s="20" t="e">
        <f>VLOOKUP(B84,Sheet3!B:E,2,0)</f>
        <v>#N/A</v>
      </c>
      <c r="D84" s="20" t="e">
        <f>VLOOKUP(B84,Sheet3!B:E,3,0)</f>
        <v>#N/A</v>
      </c>
      <c r="E84" s="20" t="e">
        <f>VLOOKUP(B84,Sheet3!B:E,4,0)</f>
        <v>#N/A</v>
      </c>
      <c r="F84" s="9" t="s">
        <v>96</v>
      </c>
      <c r="G84" s="20"/>
    </row>
    <row r="85" spans="1:7" ht="24.95" customHeight="1" x14ac:dyDescent="0.25">
      <c r="A85" s="3"/>
      <c r="B85" s="68">
        <f>'Seating Plan'!H149</f>
        <v>0</v>
      </c>
      <c r="C85" s="20" t="e">
        <f>VLOOKUP(B85,Sheet3!B:E,2,0)</f>
        <v>#N/A</v>
      </c>
      <c r="D85" s="20" t="e">
        <f>VLOOKUP(B85,Sheet3!B:E,3,0)</f>
        <v>#N/A</v>
      </c>
      <c r="E85" s="20" t="e">
        <f>VLOOKUP(B85,Sheet3!B:E,4,0)</f>
        <v>#N/A</v>
      </c>
      <c r="F85" s="9" t="s">
        <v>97</v>
      </c>
      <c r="G85" s="20"/>
    </row>
    <row r="86" spans="1:7" ht="24.95" customHeight="1" x14ac:dyDescent="0.25">
      <c r="A86" s="3"/>
      <c r="B86" s="68">
        <f>'Seating Plan'!H150</f>
        <v>0</v>
      </c>
      <c r="C86" s="20" t="e">
        <f>VLOOKUP(B86,Sheet3!B:E,2,0)</f>
        <v>#N/A</v>
      </c>
      <c r="D86" s="20" t="e">
        <f>VLOOKUP(B86,Sheet3!B:E,3,0)</f>
        <v>#N/A</v>
      </c>
      <c r="E86" s="20" t="e">
        <f>VLOOKUP(B86,Sheet3!B:E,4,0)</f>
        <v>#N/A</v>
      </c>
      <c r="F86" s="9" t="s">
        <v>98</v>
      </c>
      <c r="G86" s="20"/>
    </row>
  </sheetData>
  <mergeCells count="12">
    <mergeCell ref="A50:G50"/>
    <mergeCell ref="A1:G1"/>
    <mergeCell ref="A2:G2"/>
    <mergeCell ref="A3:G3"/>
    <mergeCell ref="A4:G4"/>
    <mergeCell ref="A5:G5"/>
    <mergeCell ref="A6:G6"/>
    <mergeCell ref="A45:G45"/>
    <mergeCell ref="A46:G46"/>
    <mergeCell ref="A47:G47"/>
    <mergeCell ref="A48:G48"/>
    <mergeCell ref="A49:G49"/>
  </mergeCells>
  <phoneticPr fontId="10" type="noConversion"/>
  <pageMargins left="0.25" right="0.25" top="0.75" bottom="0.75" header="0.3" footer="0.3"/>
  <pageSetup orientation="portrait" r:id="rId1"/>
  <headerFooter>
    <oddFooter xml:space="preserve">&amp;L
Technical Staff Name and Sign&amp;C
Total Present
Total Absent&amp;R
Invigilator Name and Sign
Invigilator Name and Sign
</oddFooter>
  </headerFooter>
  <rowBreaks count="1" manualBreakCount="1">
    <brk id="4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FD6EC-BC1B-454B-899E-440685A236B2}">
  <dimension ref="A1:I44"/>
  <sheetViews>
    <sheetView topLeftCell="A18" zoomScaleNormal="100" workbookViewId="0">
      <selection activeCell="A32" sqref="A32"/>
    </sheetView>
  </sheetViews>
  <sheetFormatPr defaultColWidth="8.7109375" defaultRowHeight="15" x14ac:dyDescent="0.25"/>
  <cols>
    <col min="1" max="1" width="5.7109375" style="1" customWidth="1"/>
    <col min="2" max="2" width="15.85546875" style="1" customWidth="1"/>
    <col min="3" max="3" width="26.28515625" style="1" customWidth="1"/>
    <col min="4" max="4" width="12.42578125" style="1" customWidth="1"/>
    <col min="5" max="5" width="11.28515625" style="1" customWidth="1"/>
    <col min="6" max="6" width="10.28515625" style="1" customWidth="1"/>
    <col min="7" max="7" width="17.140625" style="1" customWidth="1"/>
    <col min="8" max="16384" width="8.7109375" style="1"/>
  </cols>
  <sheetData>
    <row r="1" spans="1:9" ht="20.25" x14ac:dyDescent="0.3">
      <c r="A1" s="94" t="s">
        <v>24</v>
      </c>
      <c r="B1" s="94"/>
      <c r="C1" s="94"/>
      <c r="D1" s="94"/>
      <c r="E1" s="94"/>
      <c r="F1" s="94"/>
      <c r="G1" s="94"/>
      <c r="H1" s="19"/>
      <c r="I1" s="19"/>
    </row>
    <row r="2" spans="1:9" ht="20.25" x14ac:dyDescent="0.3">
      <c r="A2" s="94" t="s">
        <v>25</v>
      </c>
      <c r="B2" s="94"/>
      <c r="C2" s="94"/>
      <c r="D2" s="94"/>
      <c r="E2" s="94"/>
      <c r="F2" s="94"/>
      <c r="G2" s="94"/>
      <c r="H2" s="19"/>
      <c r="I2" s="19"/>
    </row>
    <row r="3" spans="1:9" x14ac:dyDescent="0.25">
      <c r="A3" s="82" t="s">
        <v>20</v>
      </c>
      <c r="B3" s="82"/>
      <c r="C3" s="82"/>
      <c r="D3" s="82"/>
      <c r="E3" s="82"/>
      <c r="F3" s="82"/>
      <c r="G3" s="82"/>
      <c r="H3" s="2"/>
      <c r="I3" s="2"/>
    </row>
    <row r="4" spans="1:9" x14ac:dyDescent="0.25">
      <c r="A4" s="82" t="s">
        <v>21</v>
      </c>
      <c r="B4" s="82"/>
      <c r="C4" s="82"/>
      <c r="D4" s="82"/>
      <c r="E4" s="82"/>
      <c r="F4" s="82"/>
      <c r="G4" s="82"/>
    </row>
    <row r="5" spans="1:9" x14ac:dyDescent="0.25">
      <c r="A5" s="96" t="s">
        <v>7</v>
      </c>
      <c r="B5" s="96"/>
      <c r="C5" s="96"/>
      <c r="D5" s="96"/>
      <c r="E5" s="96"/>
      <c r="F5" s="96"/>
      <c r="G5" s="96"/>
    </row>
    <row r="6" spans="1:9" x14ac:dyDescent="0.25">
      <c r="A6" s="96" t="s">
        <v>0</v>
      </c>
      <c r="B6" s="96"/>
      <c r="C6" s="96"/>
      <c r="D6" s="96"/>
      <c r="E6" s="96"/>
      <c r="F6" s="96"/>
      <c r="G6" s="96"/>
    </row>
    <row r="7" spans="1:9" ht="22.5" customHeight="1" x14ac:dyDescent="0.25">
      <c r="A7" s="2" t="s">
        <v>156</v>
      </c>
      <c r="C7" s="18" t="e">
        <f>VLOOKUP(D10,Sheet3!G:H,2,0)</f>
        <v>#N/A</v>
      </c>
      <c r="G7" s="10" t="str">
        <f>'Seating Plan'!D$3</f>
        <v>08.04.2026</v>
      </c>
    </row>
    <row r="8" spans="1:9" ht="21.95" customHeight="1" x14ac:dyDescent="0.25">
      <c r="G8" s="10" t="str">
        <f>'Seating Plan'!G$4</f>
        <v>Shift:I (10:00 to 11:00 AM)</v>
      </c>
    </row>
    <row r="9" spans="1:9" ht="24.6" customHeight="1" x14ac:dyDescent="0.25">
      <c r="A9" s="5" t="s">
        <v>1</v>
      </c>
      <c r="B9" s="5" t="s">
        <v>3</v>
      </c>
      <c r="C9" s="5" t="s">
        <v>2</v>
      </c>
      <c r="D9" s="5" t="s">
        <v>19</v>
      </c>
      <c r="E9" s="5" t="s">
        <v>4</v>
      </c>
      <c r="F9" s="5" t="s">
        <v>18</v>
      </c>
      <c r="G9" s="5" t="s">
        <v>5</v>
      </c>
    </row>
    <row r="10" spans="1:9" ht="23.1" customHeight="1" x14ac:dyDescent="0.25">
      <c r="A10" s="3"/>
      <c r="B10" s="68">
        <f>'Seating Plan'!F151</f>
        <v>0</v>
      </c>
      <c r="C10" s="20" t="e">
        <f>VLOOKUP(B10,Sheet3!B:E,2,0)</f>
        <v>#N/A</v>
      </c>
      <c r="D10" s="20" t="e">
        <f>VLOOKUP(B10,Sheet3!B:E,3,0)</f>
        <v>#N/A</v>
      </c>
      <c r="E10" s="20" t="e">
        <f>VLOOKUP(B10,Sheet3!B:E,4,0)</f>
        <v>#N/A</v>
      </c>
      <c r="F10" s="11" t="s">
        <v>32</v>
      </c>
      <c r="G10" s="4"/>
    </row>
    <row r="11" spans="1:9" ht="23.1" customHeight="1" x14ac:dyDescent="0.25">
      <c r="A11" s="3"/>
      <c r="B11" s="68">
        <f>'Seating Plan'!F152</f>
        <v>0</v>
      </c>
      <c r="C11" s="20" t="e">
        <f>VLOOKUP(B11,Sheet3!B:E,2,0)</f>
        <v>#N/A</v>
      </c>
      <c r="D11" s="20" t="e">
        <f>VLOOKUP(B11,Sheet3!B:E,3,0)</f>
        <v>#N/A</v>
      </c>
      <c r="E11" s="20" t="e">
        <f>VLOOKUP(B11,Sheet3!B:E,4,0)</f>
        <v>#N/A</v>
      </c>
      <c r="F11" s="11" t="s">
        <v>33</v>
      </c>
      <c r="G11" s="4"/>
    </row>
    <row r="12" spans="1:9" ht="23.1" customHeight="1" x14ac:dyDescent="0.25">
      <c r="A12" s="3"/>
      <c r="B12" s="68">
        <f>'Seating Plan'!F153</f>
        <v>0</v>
      </c>
      <c r="C12" s="20" t="e">
        <f>VLOOKUP(B12,Sheet3!B:E,2,0)</f>
        <v>#N/A</v>
      </c>
      <c r="D12" s="20" t="e">
        <f>VLOOKUP(B12,Sheet3!B:E,3,0)</f>
        <v>#N/A</v>
      </c>
      <c r="E12" s="20" t="e">
        <f>VLOOKUP(B12,Sheet3!B:E,4,0)</f>
        <v>#N/A</v>
      </c>
      <c r="F12" s="11" t="s">
        <v>34</v>
      </c>
      <c r="G12" s="4"/>
    </row>
    <row r="13" spans="1:9" ht="23.1" customHeight="1" x14ac:dyDescent="0.25">
      <c r="A13" s="3"/>
      <c r="B13" s="68">
        <f>'Seating Plan'!F154</f>
        <v>0</v>
      </c>
      <c r="C13" s="20" t="e">
        <f>VLOOKUP(B13,Sheet3!B:E,2,0)</f>
        <v>#N/A</v>
      </c>
      <c r="D13" s="20" t="e">
        <f>VLOOKUP(B13,Sheet3!B:E,3,0)</f>
        <v>#N/A</v>
      </c>
      <c r="E13" s="20" t="e">
        <f>VLOOKUP(B13,Sheet3!B:E,4,0)</f>
        <v>#N/A</v>
      </c>
      <c r="F13" s="11" t="s">
        <v>35</v>
      </c>
      <c r="G13" s="4"/>
    </row>
    <row r="14" spans="1:9" ht="23.1" customHeight="1" x14ac:dyDescent="0.25">
      <c r="A14" s="3"/>
      <c r="B14" s="68">
        <f>'Seating Plan'!F155</f>
        <v>0</v>
      </c>
      <c r="C14" s="20" t="e">
        <f>VLOOKUP(B14,Sheet3!B:E,2,0)</f>
        <v>#N/A</v>
      </c>
      <c r="D14" s="20" t="e">
        <f>VLOOKUP(B14,Sheet3!B:E,3,0)</f>
        <v>#N/A</v>
      </c>
      <c r="E14" s="20" t="e">
        <f>VLOOKUP(B14,Sheet3!B:E,4,0)</f>
        <v>#N/A</v>
      </c>
      <c r="F14" s="11" t="s">
        <v>36</v>
      </c>
      <c r="G14" s="4"/>
    </row>
    <row r="15" spans="1:9" ht="23.1" customHeight="1" x14ac:dyDescent="0.25">
      <c r="A15" s="3"/>
      <c r="B15" s="68">
        <f>'Seating Plan'!F156</f>
        <v>0</v>
      </c>
      <c r="C15" s="20" t="e">
        <f>VLOOKUP(B15,Sheet3!B:E,2,0)</f>
        <v>#N/A</v>
      </c>
      <c r="D15" s="20" t="e">
        <f>VLOOKUP(B15,Sheet3!B:E,3,0)</f>
        <v>#N/A</v>
      </c>
      <c r="E15" s="20" t="e">
        <f>VLOOKUP(B15,Sheet3!B:E,4,0)</f>
        <v>#N/A</v>
      </c>
      <c r="F15" s="11" t="s">
        <v>37</v>
      </c>
      <c r="G15" s="4"/>
    </row>
    <row r="16" spans="1:9" ht="23.1" customHeight="1" x14ac:dyDescent="0.25">
      <c r="A16" s="3"/>
      <c r="B16" s="68">
        <f>'Seating Plan'!F157</f>
        <v>0</v>
      </c>
      <c r="C16" s="20" t="e">
        <f>VLOOKUP(B16,Sheet3!B:E,2,0)</f>
        <v>#N/A</v>
      </c>
      <c r="D16" s="20" t="e">
        <f>VLOOKUP(B16,Sheet3!B:E,3,0)</f>
        <v>#N/A</v>
      </c>
      <c r="E16" s="20" t="e">
        <f>VLOOKUP(B16,Sheet3!B:E,4,0)</f>
        <v>#N/A</v>
      </c>
      <c r="F16" s="11" t="s">
        <v>38</v>
      </c>
      <c r="G16" s="4"/>
    </row>
    <row r="17" spans="1:7" ht="23.1" customHeight="1" x14ac:dyDescent="0.25">
      <c r="A17" s="3"/>
      <c r="B17" s="68">
        <f>'Seating Plan'!F158</f>
        <v>0</v>
      </c>
      <c r="C17" s="20" t="e">
        <f>VLOOKUP(B17,Sheet3!B:E,2,0)</f>
        <v>#N/A</v>
      </c>
      <c r="D17" s="20" t="e">
        <f>VLOOKUP(B17,Sheet3!B:E,3,0)</f>
        <v>#N/A</v>
      </c>
      <c r="E17" s="20" t="e">
        <f>VLOOKUP(B17,Sheet3!B:E,4,0)</f>
        <v>#N/A</v>
      </c>
      <c r="F17" s="11" t="s">
        <v>39</v>
      </c>
      <c r="G17" s="4"/>
    </row>
    <row r="18" spans="1:7" ht="23.1" customHeight="1" x14ac:dyDescent="0.25">
      <c r="A18" s="3"/>
      <c r="B18" s="68">
        <f>'Seating Plan'!F159</f>
        <v>0</v>
      </c>
      <c r="C18" s="20" t="e">
        <f>VLOOKUP(B18,Sheet3!B:E,2,0)</f>
        <v>#N/A</v>
      </c>
      <c r="D18" s="20" t="e">
        <f>VLOOKUP(B18,Sheet3!B:E,3,0)</f>
        <v>#N/A</v>
      </c>
      <c r="E18" s="20" t="e">
        <f>VLOOKUP(B18,Sheet3!B:E,4,0)</f>
        <v>#N/A</v>
      </c>
      <c r="F18" s="11" t="s">
        <v>40</v>
      </c>
      <c r="G18" s="4"/>
    </row>
    <row r="19" spans="1:7" ht="23.1" customHeight="1" x14ac:dyDescent="0.25">
      <c r="A19" s="3"/>
      <c r="B19" s="68">
        <f>'Seating Plan'!F160</f>
        <v>0</v>
      </c>
      <c r="C19" s="20" t="e">
        <f>VLOOKUP(B19,Sheet3!B:E,2,0)</f>
        <v>#N/A</v>
      </c>
      <c r="D19" s="20" t="e">
        <f>VLOOKUP(B19,Sheet3!B:E,3,0)</f>
        <v>#N/A</v>
      </c>
      <c r="E19" s="20" t="e">
        <f>VLOOKUP(B19,Sheet3!B:E,4,0)</f>
        <v>#N/A</v>
      </c>
      <c r="F19" s="11" t="s">
        <v>41</v>
      </c>
      <c r="G19" s="4"/>
    </row>
    <row r="20" spans="1:7" ht="23.1" hidden="1" customHeight="1" x14ac:dyDescent="0.25">
      <c r="A20" s="3">
        <v>11</v>
      </c>
      <c r="B20" s="14"/>
      <c r="C20" s="15"/>
      <c r="D20" s="11"/>
      <c r="E20" s="11"/>
      <c r="F20" s="11"/>
      <c r="G20" s="4"/>
    </row>
    <row r="21" spans="1:7" ht="23.1" hidden="1" customHeight="1" x14ac:dyDescent="0.25">
      <c r="A21" s="3">
        <v>12</v>
      </c>
      <c r="B21" s="14"/>
      <c r="C21" s="15"/>
      <c r="D21" s="11"/>
      <c r="E21" s="11"/>
      <c r="F21" s="11"/>
      <c r="G21" s="4"/>
    </row>
    <row r="22" spans="1:7" ht="23.1" hidden="1" customHeight="1" x14ac:dyDescent="0.25">
      <c r="A22" s="3">
        <v>13</v>
      </c>
      <c r="B22" s="14"/>
      <c r="C22" s="15"/>
      <c r="D22" s="11"/>
      <c r="E22" s="11"/>
      <c r="F22" s="11"/>
      <c r="G22" s="4"/>
    </row>
    <row r="26" spans="1:7" ht="20.25" x14ac:dyDescent="0.3">
      <c r="A26" s="94" t="s">
        <v>24</v>
      </c>
      <c r="B26" s="94"/>
      <c r="C26" s="94"/>
      <c r="D26" s="94"/>
      <c r="E26" s="94"/>
      <c r="F26" s="94"/>
      <c r="G26" s="94"/>
    </row>
    <row r="27" spans="1:7" ht="20.25" x14ac:dyDescent="0.3">
      <c r="A27" s="94" t="s">
        <v>25</v>
      </c>
      <c r="B27" s="94"/>
      <c r="C27" s="94"/>
      <c r="D27" s="94"/>
      <c r="E27" s="94"/>
      <c r="F27" s="94"/>
      <c r="G27" s="94"/>
    </row>
    <row r="28" spans="1:7" x14ac:dyDescent="0.25">
      <c r="A28" s="82" t="s">
        <v>20</v>
      </c>
      <c r="B28" s="82"/>
      <c r="C28" s="82"/>
      <c r="D28" s="82"/>
      <c r="E28" s="82"/>
      <c r="F28" s="82"/>
      <c r="G28" s="82"/>
    </row>
    <row r="29" spans="1:7" x14ac:dyDescent="0.25">
      <c r="A29" s="82" t="s">
        <v>21</v>
      </c>
      <c r="B29" s="82"/>
      <c r="C29" s="82"/>
      <c r="D29" s="82"/>
      <c r="E29" s="82"/>
      <c r="F29" s="82"/>
      <c r="G29" s="82"/>
    </row>
    <row r="30" spans="1:7" x14ac:dyDescent="0.25">
      <c r="A30" s="96" t="s">
        <v>7</v>
      </c>
      <c r="B30" s="96"/>
      <c r="C30" s="96"/>
      <c r="D30" s="96"/>
      <c r="E30" s="96"/>
      <c r="F30" s="96"/>
      <c r="G30" s="96"/>
    </row>
    <row r="31" spans="1:7" x14ac:dyDescent="0.25">
      <c r="A31" s="96" t="s">
        <v>0</v>
      </c>
      <c r="B31" s="96"/>
      <c r="C31" s="96"/>
      <c r="D31" s="96"/>
      <c r="E31" s="96"/>
      <c r="F31" s="96"/>
      <c r="G31" s="96"/>
    </row>
    <row r="32" spans="1:7" x14ac:dyDescent="0.25">
      <c r="A32" s="2" t="s">
        <v>156</v>
      </c>
      <c r="C32" s="18" t="e">
        <f>VLOOKUP(D35,Sheet3!G:H,2,0)</f>
        <v>#N/A</v>
      </c>
      <c r="G32" s="10" t="str">
        <f>'Seating Plan'!D$3</f>
        <v>08.04.2026</v>
      </c>
    </row>
    <row r="33" spans="1:7" x14ac:dyDescent="0.25">
      <c r="G33" s="10" t="str">
        <f>'Seating Plan'!G$4</f>
        <v>Shift:I (10:00 to 11:00 AM)</v>
      </c>
    </row>
    <row r="34" spans="1:7" ht="23.1" customHeight="1" x14ac:dyDescent="0.25">
      <c r="A34" s="5" t="s">
        <v>1</v>
      </c>
      <c r="B34" s="5" t="s">
        <v>3</v>
      </c>
      <c r="C34" s="5" t="s">
        <v>2</v>
      </c>
      <c r="D34" s="5" t="s">
        <v>19</v>
      </c>
      <c r="E34" s="5" t="s">
        <v>4</v>
      </c>
      <c r="F34" s="5" t="s">
        <v>18</v>
      </c>
      <c r="G34" s="5" t="s">
        <v>5</v>
      </c>
    </row>
    <row r="35" spans="1:7" ht="24.95" customHeight="1" x14ac:dyDescent="0.25">
      <c r="A35" s="3"/>
      <c r="B35" s="68">
        <f>'Seating Plan'!H151</f>
        <v>0</v>
      </c>
      <c r="C35" s="20" t="e">
        <f>VLOOKUP(B35,Sheet3!B:E,2,0)</f>
        <v>#N/A</v>
      </c>
      <c r="D35" s="20" t="e">
        <f>VLOOKUP(B35,Sheet3!B:E,3,0)</f>
        <v>#N/A</v>
      </c>
      <c r="E35" s="20" t="e">
        <f>VLOOKUP(B35,Sheet3!B:E,4,0)</f>
        <v>#N/A</v>
      </c>
      <c r="F35" s="3" t="s">
        <v>47</v>
      </c>
      <c r="G35" s="4"/>
    </row>
    <row r="36" spans="1:7" ht="24.95" customHeight="1" x14ac:dyDescent="0.25">
      <c r="A36" s="3"/>
      <c r="B36" s="68">
        <f>'Seating Plan'!H152</f>
        <v>0</v>
      </c>
      <c r="C36" s="20" t="e">
        <f>VLOOKUP(B36,Sheet3!B:E,2,0)</f>
        <v>#N/A</v>
      </c>
      <c r="D36" s="20" t="e">
        <f>VLOOKUP(B36,Sheet3!B:E,3,0)</f>
        <v>#N/A</v>
      </c>
      <c r="E36" s="20" t="e">
        <f>VLOOKUP(B36,Sheet3!B:E,4,0)</f>
        <v>#N/A</v>
      </c>
      <c r="F36" s="3" t="s">
        <v>48</v>
      </c>
      <c r="G36" s="4"/>
    </row>
    <row r="37" spans="1:7" ht="24.95" customHeight="1" x14ac:dyDescent="0.25">
      <c r="A37" s="3"/>
      <c r="B37" s="68">
        <f>'Seating Plan'!H153</f>
        <v>0</v>
      </c>
      <c r="C37" s="20" t="e">
        <f>VLOOKUP(B37,Sheet3!B:E,2,0)</f>
        <v>#N/A</v>
      </c>
      <c r="D37" s="20" t="e">
        <f>VLOOKUP(B37,Sheet3!B:E,3,0)</f>
        <v>#N/A</v>
      </c>
      <c r="E37" s="20" t="e">
        <f>VLOOKUP(B37,Sheet3!B:E,4,0)</f>
        <v>#N/A</v>
      </c>
      <c r="F37" s="3" t="s">
        <v>49</v>
      </c>
      <c r="G37" s="4"/>
    </row>
    <row r="38" spans="1:7" ht="24.95" customHeight="1" x14ac:dyDescent="0.25">
      <c r="A38" s="3"/>
      <c r="B38" s="68">
        <f>'Seating Plan'!H154</f>
        <v>0</v>
      </c>
      <c r="C38" s="20" t="e">
        <f>VLOOKUP(B38,Sheet3!B:E,2,0)</f>
        <v>#N/A</v>
      </c>
      <c r="D38" s="20" t="e">
        <f>VLOOKUP(B38,Sheet3!B:E,3,0)</f>
        <v>#N/A</v>
      </c>
      <c r="E38" s="20" t="e">
        <f>VLOOKUP(B38,Sheet3!B:E,4,0)</f>
        <v>#N/A</v>
      </c>
      <c r="F38" s="3" t="s">
        <v>50</v>
      </c>
      <c r="G38" s="4"/>
    </row>
    <row r="39" spans="1:7" ht="24.95" customHeight="1" x14ac:dyDescent="0.25">
      <c r="A39" s="3"/>
      <c r="B39" s="68">
        <f>'Seating Plan'!H155</f>
        <v>0</v>
      </c>
      <c r="C39" s="20" t="e">
        <f>VLOOKUP(B39,Sheet3!B:E,2,0)</f>
        <v>#N/A</v>
      </c>
      <c r="D39" s="20" t="e">
        <f>VLOOKUP(B39,Sheet3!B:E,3,0)</f>
        <v>#N/A</v>
      </c>
      <c r="E39" s="20" t="e">
        <f>VLOOKUP(B39,Sheet3!B:E,4,0)</f>
        <v>#N/A</v>
      </c>
      <c r="F39" s="3" t="s">
        <v>51</v>
      </c>
      <c r="G39" s="4"/>
    </row>
    <row r="40" spans="1:7" ht="24.95" customHeight="1" x14ac:dyDescent="0.25">
      <c r="A40" s="3"/>
      <c r="B40" s="68">
        <f>'Seating Plan'!H156</f>
        <v>0</v>
      </c>
      <c r="C40" s="20" t="e">
        <f>VLOOKUP(B40,Sheet3!B:E,2,0)</f>
        <v>#N/A</v>
      </c>
      <c r="D40" s="20" t="e">
        <f>VLOOKUP(B40,Sheet3!B:E,3,0)</f>
        <v>#N/A</v>
      </c>
      <c r="E40" s="20" t="e">
        <f>VLOOKUP(B40,Sheet3!B:E,4,0)</f>
        <v>#N/A</v>
      </c>
      <c r="F40" s="3" t="s">
        <v>46</v>
      </c>
      <c r="G40" s="4"/>
    </row>
    <row r="41" spans="1:7" ht="24.95" customHeight="1" x14ac:dyDescent="0.25">
      <c r="A41" s="3"/>
      <c r="B41" s="68">
        <f>'Seating Plan'!H157</f>
        <v>0</v>
      </c>
      <c r="C41" s="20" t="e">
        <f>VLOOKUP(B41,Sheet3!B:E,2,0)</f>
        <v>#N/A</v>
      </c>
      <c r="D41" s="20" t="e">
        <f>VLOOKUP(B41,Sheet3!B:E,3,0)</f>
        <v>#N/A</v>
      </c>
      <c r="E41" s="20" t="e">
        <f>VLOOKUP(B41,Sheet3!B:E,4,0)</f>
        <v>#N/A</v>
      </c>
      <c r="F41" s="3" t="s">
        <v>52</v>
      </c>
      <c r="G41" s="4"/>
    </row>
    <row r="42" spans="1:7" ht="24.95" customHeight="1" x14ac:dyDescent="0.25">
      <c r="A42" s="3"/>
      <c r="B42" s="68">
        <f>'Seating Plan'!H158</f>
        <v>0</v>
      </c>
      <c r="C42" s="20" t="e">
        <f>VLOOKUP(B42,Sheet3!B:E,2,0)</f>
        <v>#N/A</v>
      </c>
      <c r="D42" s="20" t="e">
        <f>VLOOKUP(B42,Sheet3!B:E,3,0)</f>
        <v>#N/A</v>
      </c>
      <c r="E42" s="20" t="e">
        <f>VLOOKUP(B42,Sheet3!B:E,4,0)</f>
        <v>#N/A</v>
      </c>
      <c r="F42" s="3" t="s">
        <v>53</v>
      </c>
      <c r="G42" s="4"/>
    </row>
    <row r="43" spans="1:7" ht="24.95" customHeight="1" x14ac:dyDescent="0.25">
      <c r="A43" s="3"/>
      <c r="B43" s="68">
        <f>'Seating Plan'!H159</f>
        <v>0</v>
      </c>
      <c r="C43" s="20" t="e">
        <f>VLOOKUP(B43,Sheet3!B:E,2,0)</f>
        <v>#N/A</v>
      </c>
      <c r="D43" s="20" t="e">
        <f>VLOOKUP(B43,Sheet3!B:E,3,0)</f>
        <v>#N/A</v>
      </c>
      <c r="E43" s="20" t="e">
        <f>VLOOKUP(B43,Sheet3!B:E,4,0)</f>
        <v>#N/A</v>
      </c>
      <c r="F43" s="3" t="s">
        <v>54</v>
      </c>
      <c r="G43" s="4"/>
    </row>
    <row r="44" spans="1:7" ht="24.95" customHeight="1" x14ac:dyDescent="0.25">
      <c r="A44" s="3"/>
      <c r="B44" s="68">
        <f>'Seating Plan'!H160</f>
        <v>0</v>
      </c>
      <c r="C44" s="20" t="e">
        <f>VLOOKUP(B44,Sheet3!B:E,2,0)</f>
        <v>#N/A</v>
      </c>
      <c r="D44" s="20" t="e">
        <f>VLOOKUP(B44,Sheet3!B:E,3,0)</f>
        <v>#N/A</v>
      </c>
      <c r="E44" s="20" t="e">
        <f>VLOOKUP(B44,Sheet3!B:E,4,0)</f>
        <v>#N/A</v>
      </c>
      <c r="F44" s="3" t="s">
        <v>55</v>
      </c>
      <c r="G44" s="4"/>
    </row>
  </sheetData>
  <mergeCells count="12">
    <mergeCell ref="A4:G4"/>
    <mergeCell ref="A1:G1"/>
    <mergeCell ref="A2:G2"/>
    <mergeCell ref="A3:G3"/>
    <mergeCell ref="A30:G30"/>
    <mergeCell ref="A31:G31"/>
    <mergeCell ref="A5:G5"/>
    <mergeCell ref="A6:G6"/>
    <mergeCell ref="A26:G26"/>
    <mergeCell ref="A27:G27"/>
    <mergeCell ref="A28:G28"/>
    <mergeCell ref="A29:G29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orientation="portrait" r:id="rId1"/>
  <headerFooter>
    <oddFooter>&amp;L
Technical Staff Name and Sign&amp;C
Total Present:
Total Abcent&amp;R
Invigilator Name and Sign
Invigilator Name and Sign</oddFooter>
  </headerFooter>
  <rowBreaks count="1" manualBreakCount="1">
    <brk id="2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8240-1223-46C0-A103-9705114976C2}">
  <dimension ref="A1:G48"/>
  <sheetViews>
    <sheetView zoomScaleNormal="100" workbookViewId="0">
      <selection activeCell="A7" sqref="A7"/>
    </sheetView>
  </sheetViews>
  <sheetFormatPr defaultColWidth="8.7109375" defaultRowHeight="15" x14ac:dyDescent="0.25"/>
  <cols>
    <col min="1" max="1" width="6.42578125" style="1" bestFit="1" customWidth="1"/>
    <col min="2" max="2" width="14.42578125" style="1" customWidth="1"/>
    <col min="3" max="3" width="24.42578125" style="1" customWidth="1"/>
    <col min="4" max="4" width="12.85546875" style="1" bestFit="1" customWidth="1"/>
    <col min="5" max="5" width="12.140625" style="1" customWidth="1"/>
    <col min="6" max="6" width="9.85546875" style="1" customWidth="1"/>
    <col min="7" max="7" width="18.28515625" style="1" customWidth="1"/>
    <col min="8" max="16384" width="8.7109375" style="1"/>
  </cols>
  <sheetData>
    <row r="1" spans="1:7" ht="20.25" x14ac:dyDescent="0.3">
      <c r="A1" s="94" t="s">
        <v>24</v>
      </c>
      <c r="B1" s="94"/>
      <c r="C1" s="94"/>
      <c r="D1" s="94"/>
      <c r="E1" s="94"/>
      <c r="F1" s="94"/>
      <c r="G1" s="94"/>
    </row>
    <row r="2" spans="1:7" ht="20.25" x14ac:dyDescent="0.3">
      <c r="A2" s="94" t="s">
        <v>25</v>
      </c>
      <c r="B2" s="94"/>
      <c r="C2" s="94"/>
      <c r="D2" s="94"/>
      <c r="E2" s="94"/>
      <c r="F2" s="94"/>
      <c r="G2" s="94"/>
    </row>
    <row r="3" spans="1:7" x14ac:dyDescent="0.25">
      <c r="A3" s="82" t="s">
        <v>20</v>
      </c>
      <c r="B3" s="82"/>
      <c r="C3" s="82"/>
      <c r="D3" s="82"/>
      <c r="E3" s="82"/>
      <c r="F3" s="82"/>
      <c r="G3" s="82"/>
    </row>
    <row r="4" spans="1:7" ht="18.75" x14ac:dyDescent="0.3">
      <c r="B4" s="17"/>
      <c r="C4" s="81" t="s">
        <v>21</v>
      </c>
      <c r="D4" s="81"/>
      <c r="E4" s="81"/>
      <c r="F4" s="81"/>
      <c r="G4" s="16"/>
    </row>
    <row r="5" spans="1:7" x14ac:dyDescent="0.25">
      <c r="A5" s="82" t="s">
        <v>9</v>
      </c>
      <c r="B5" s="82"/>
      <c r="C5" s="82"/>
      <c r="D5" s="82"/>
      <c r="E5" s="82"/>
      <c r="F5" s="82"/>
      <c r="G5" s="82"/>
    </row>
    <row r="6" spans="1:7" x14ac:dyDescent="0.25">
      <c r="A6" s="82" t="s">
        <v>22</v>
      </c>
      <c r="B6" s="82"/>
      <c r="C6" s="82"/>
      <c r="D6" s="82"/>
      <c r="E6" s="82"/>
      <c r="F6" s="82"/>
    </row>
    <row r="7" spans="1:7" x14ac:dyDescent="0.25">
      <c r="A7" s="2" t="s">
        <v>156</v>
      </c>
      <c r="B7" s="7"/>
      <c r="C7" s="18" t="e">
        <f>VLOOKUP(D10,Sheet3!G:H,2,0)</f>
        <v>#N/A</v>
      </c>
      <c r="D7" s="7"/>
      <c r="E7" s="7"/>
      <c r="F7" s="7"/>
      <c r="G7" s="10" t="str">
        <f>'Seating Plan'!D$3</f>
        <v>08.04.2026</v>
      </c>
    </row>
    <row r="8" spans="1:7" x14ac:dyDescent="0.25">
      <c r="A8" s="23"/>
      <c r="B8" s="23"/>
      <c r="C8" s="23"/>
      <c r="D8" s="23"/>
      <c r="E8" s="23"/>
      <c r="F8" s="23"/>
      <c r="G8" s="10" t="str">
        <f>'Seating Plan'!G$4</f>
        <v>Shift:I (10:00 to 11:00 AM)</v>
      </c>
    </row>
    <row r="9" spans="1:7" ht="23.1" customHeight="1" x14ac:dyDescent="0.25">
      <c r="A9" s="5" t="s">
        <v>1</v>
      </c>
      <c r="B9" s="5" t="s">
        <v>3</v>
      </c>
      <c r="C9" s="5" t="s">
        <v>2</v>
      </c>
      <c r="D9" s="5" t="s">
        <v>19</v>
      </c>
      <c r="E9" s="5" t="s">
        <v>4</v>
      </c>
      <c r="F9" s="5" t="s">
        <v>18</v>
      </c>
      <c r="G9" s="5" t="s">
        <v>5</v>
      </c>
    </row>
    <row r="10" spans="1:7" ht="23.1" customHeight="1" x14ac:dyDescent="0.25">
      <c r="A10" s="3"/>
      <c r="B10" s="68">
        <f>'Seating Plan'!F161</f>
        <v>0</v>
      </c>
      <c r="C10" s="20" t="e">
        <f>VLOOKUP(B10,Sheet3!B:E,2,0)</f>
        <v>#N/A</v>
      </c>
      <c r="D10" s="20" t="e">
        <f>VLOOKUP(B10,Sheet3!B:E,3,0)</f>
        <v>#N/A</v>
      </c>
      <c r="E10" s="20" t="e">
        <f>VLOOKUP(B10,Sheet3!B:E,4,0)</f>
        <v>#N/A</v>
      </c>
      <c r="F10" s="11" t="s">
        <v>32</v>
      </c>
      <c r="G10" s="4"/>
    </row>
    <row r="11" spans="1:7" ht="23.1" customHeight="1" x14ac:dyDescent="0.25">
      <c r="A11" s="3"/>
      <c r="B11" s="68">
        <f>'Seating Plan'!F162</f>
        <v>0</v>
      </c>
      <c r="C11" s="20" t="e">
        <f>VLOOKUP(B11,Sheet3!B:E,2,0)</f>
        <v>#N/A</v>
      </c>
      <c r="D11" s="20" t="e">
        <f>VLOOKUP(B11,Sheet3!B:E,3,0)</f>
        <v>#N/A</v>
      </c>
      <c r="E11" s="20" t="e">
        <f>VLOOKUP(B11,Sheet3!B:E,4,0)</f>
        <v>#N/A</v>
      </c>
      <c r="F11" s="11" t="s">
        <v>33</v>
      </c>
      <c r="G11" s="4"/>
    </row>
    <row r="12" spans="1:7" ht="23.1" customHeight="1" x14ac:dyDescent="0.25">
      <c r="A12" s="3"/>
      <c r="B12" s="68">
        <f>'Seating Plan'!F163</f>
        <v>0</v>
      </c>
      <c r="C12" s="20" t="e">
        <f>VLOOKUP(B12,Sheet3!B:E,2,0)</f>
        <v>#N/A</v>
      </c>
      <c r="D12" s="20" t="e">
        <f>VLOOKUP(B12,Sheet3!B:E,3,0)</f>
        <v>#N/A</v>
      </c>
      <c r="E12" s="20" t="e">
        <f>VLOOKUP(B12,Sheet3!B:E,4,0)</f>
        <v>#N/A</v>
      </c>
      <c r="F12" s="11" t="s">
        <v>34</v>
      </c>
      <c r="G12" s="4"/>
    </row>
    <row r="13" spans="1:7" ht="23.1" customHeight="1" x14ac:dyDescent="0.25">
      <c r="A13" s="3"/>
      <c r="B13" s="68">
        <f>'Seating Plan'!F164</f>
        <v>0</v>
      </c>
      <c r="C13" s="20" t="e">
        <f>VLOOKUP(B13,Sheet3!B:E,2,0)</f>
        <v>#N/A</v>
      </c>
      <c r="D13" s="20" t="e">
        <f>VLOOKUP(B13,Sheet3!B:E,3,0)</f>
        <v>#N/A</v>
      </c>
      <c r="E13" s="20" t="e">
        <f>VLOOKUP(B13,Sheet3!B:E,4,0)</f>
        <v>#N/A</v>
      </c>
      <c r="F13" s="11" t="s">
        <v>35</v>
      </c>
      <c r="G13" s="4"/>
    </row>
    <row r="14" spans="1:7" ht="23.1" customHeight="1" x14ac:dyDescent="0.25">
      <c r="A14" s="3"/>
      <c r="B14" s="68">
        <f>'Seating Plan'!F165</f>
        <v>0</v>
      </c>
      <c r="C14" s="20" t="e">
        <f>VLOOKUP(B14,Sheet3!B:E,2,0)</f>
        <v>#N/A</v>
      </c>
      <c r="D14" s="20" t="e">
        <f>VLOOKUP(B14,Sheet3!B:E,3,0)</f>
        <v>#N/A</v>
      </c>
      <c r="E14" s="20" t="e">
        <f>VLOOKUP(B14,Sheet3!B:E,4,0)</f>
        <v>#N/A</v>
      </c>
      <c r="F14" s="11" t="s">
        <v>36</v>
      </c>
      <c r="G14" s="4"/>
    </row>
    <row r="15" spans="1:7" ht="23.1" customHeight="1" x14ac:dyDescent="0.25">
      <c r="A15" s="3"/>
      <c r="B15" s="68">
        <f>'Seating Plan'!F166</f>
        <v>0</v>
      </c>
      <c r="C15" s="20" t="e">
        <f>VLOOKUP(B15,Sheet3!B:E,2,0)</f>
        <v>#N/A</v>
      </c>
      <c r="D15" s="20" t="e">
        <f>VLOOKUP(B15,Sheet3!B:E,3,0)</f>
        <v>#N/A</v>
      </c>
      <c r="E15" s="20" t="e">
        <f>VLOOKUP(B15,Sheet3!B:E,4,0)</f>
        <v>#N/A</v>
      </c>
      <c r="F15" s="11" t="s">
        <v>37</v>
      </c>
      <c r="G15" s="4"/>
    </row>
    <row r="16" spans="1:7" ht="23.1" customHeight="1" x14ac:dyDescent="0.25">
      <c r="A16" s="3"/>
      <c r="B16" s="68">
        <f>'Seating Plan'!F167</f>
        <v>0</v>
      </c>
      <c r="C16" s="20" t="e">
        <f>VLOOKUP(B16,Sheet3!B:E,2,0)</f>
        <v>#N/A</v>
      </c>
      <c r="D16" s="20" t="e">
        <f>VLOOKUP(B16,Sheet3!B:E,3,0)</f>
        <v>#N/A</v>
      </c>
      <c r="E16" s="20" t="e">
        <f>VLOOKUP(B16,Sheet3!B:E,4,0)</f>
        <v>#N/A</v>
      </c>
      <c r="F16" s="11" t="s">
        <v>38</v>
      </c>
      <c r="G16" s="4"/>
    </row>
    <row r="17" spans="1:7" ht="23.1" customHeight="1" x14ac:dyDescent="0.25">
      <c r="A17" s="3"/>
      <c r="B17" s="68">
        <f>'Seating Plan'!F168</f>
        <v>0</v>
      </c>
      <c r="C17" s="20" t="e">
        <f>VLOOKUP(B17,Sheet3!B:E,2,0)</f>
        <v>#N/A</v>
      </c>
      <c r="D17" s="20" t="e">
        <f>VLOOKUP(B17,Sheet3!B:E,3,0)</f>
        <v>#N/A</v>
      </c>
      <c r="E17" s="20" t="e">
        <f>VLOOKUP(B17,Sheet3!B:E,4,0)</f>
        <v>#N/A</v>
      </c>
      <c r="F17" s="11" t="s">
        <v>39</v>
      </c>
      <c r="G17" s="4"/>
    </row>
    <row r="18" spans="1:7" ht="23.1" customHeight="1" x14ac:dyDescent="0.25">
      <c r="A18" s="60"/>
      <c r="B18" s="68">
        <f>'Seating Plan'!F169</f>
        <v>0</v>
      </c>
      <c r="C18" s="20" t="e">
        <f>VLOOKUP(B18,Sheet3!B:E,2,0)</f>
        <v>#N/A</v>
      </c>
      <c r="D18" s="20" t="e">
        <f>VLOOKUP(B18,Sheet3!B:E,3,0)</f>
        <v>#N/A</v>
      </c>
      <c r="E18" s="20" t="e">
        <f>VLOOKUP(B18,Sheet3!B:E,4,0)</f>
        <v>#N/A</v>
      </c>
      <c r="F18" s="58" t="s">
        <v>40</v>
      </c>
      <c r="G18" s="59"/>
    </row>
    <row r="19" spans="1:7" ht="23.1" customHeight="1" x14ac:dyDescent="0.25">
      <c r="A19" s="60"/>
      <c r="B19" s="68">
        <f>'Seating Plan'!F170</f>
        <v>0</v>
      </c>
      <c r="C19" s="20" t="e">
        <f>VLOOKUP(B19,Sheet3!B:E,2,0)</f>
        <v>#N/A</v>
      </c>
      <c r="D19" s="20" t="e">
        <f>VLOOKUP(B19,Sheet3!B:E,3,0)</f>
        <v>#N/A</v>
      </c>
      <c r="E19" s="20" t="e">
        <f>VLOOKUP(B19,Sheet3!B:E,4,0)</f>
        <v>#N/A</v>
      </c>
      <c r="F19" s="58" t="s">
        <v>41</v>
      </c>
      <c r="G19" s="59"/>
    </row>
    <row r="20" spans="1:7" ht="23.1" customHeight="1" x14ac:dyDescent="0.25">
      <c r="A20" s="60"/>
      <c r="B20" s="68">
        <f>'Seating Plan'!F171</f>
        <v>0</v>
      </c>
      <c r="C20" s="20" t="e">
        <f>VLOOKUP(B20,Sheet3!B:E,2,0)</f>
        <v>#N/A</v>
      </c>
      <c r="D20" s="20" t="e">
        <f>VLOOKUP(B20,Sheet3!B:E,3,0)</f>
        <v>#N/A</v>
      </c>
      <c r="E20" s="20" t="e">
        <f>VLOOKUP(B20,Sheet3!B:E,4,0)</f>
        <v>#N/A</v>
      </c>
      <c r="F20" s="58" t="s">
        <v>42</v>
      </c>
      <c r="G20" s="59"/>
    </row>
    <row r="21" spans="1:7" ht="23.1" customHeight="1" x14ac:dyDescent="0.25">
      <c r="A21" s="60"/>
      <c r="B21" s="68">
        <f>'Seating Plan'!F172</f>
        <v>0</v>
      </c>
      <c r="C21" s="20" t="e">
        <f>VLOOKUP(B21,Sheet3!B:E,2,0)</f>
        <v>#N/A</v>
      </c>
      <c r="D21" s="20" t="e">
        <f>VLOOKUP(B21,Sheet3!B:E,3,0)</f>
        <v>#N/A</v>
      </c>
      <c r="E21" s="20" t="e">
        <f>VLOOKUP(B21,Sheet3!B:E,4,0)</f>
        <v>#N/A</v>
      </c>
      <c r="F21" s="58" t="s">
        <v>43</v>
      </c>
      <c r="G21" s="59"/>
    </row>
    <row r="22" spans="1:7" ht="23.1" customHeight="1" x14ac:dyDescent="0.25">
      <c r="A22" s="60"/>
      <c r="B22" s="68">
        <f>'Seating Plan'!F173</f>
        <v>0</v>
      </c>
      <c r="C22" s="20" t="e">
        <f>VLOOKUP(B22,Sheet3!B:E,2,0)</f>
        <v>#N/A</v>
      </c>
      <c r="D22" s="20" t="e">
        <f>VLOOKUP(B22,Sheet3!B:E,3,0)</f>
        <v>#N/A</v>
      </c>
      <c r="E22" s="20" t="e">
        <f>VLOOKUP(B22,Sheet3!B:E,4,0)</f>
        <v>#N/A</v>
      </c>
      <c r="F22" s="58" t="s">
        <v>44</v>
      </c>
      <c r="G22" s="59"/>
    </row>
    <row r="23" spans="1:7" ht="23.1" customHeight="1" x14ac:dyDescent="0.25">
      <c r="A23" s="3"/>
      <c r="B23" s="61"/>
      <c r="C23" s="20" t="e">
        <f>VLOOKUP(B23,Sheet3!B:E,2,0)</f>
        <v>#N/A</v>
      </c>
      <c r="D23" s="20" t="e">
        <f>VLOOKUP(B23,Sheet3!B:E,3,0)</f>
        <v>#N/A</v>
      </c>
      <c r="E23" s="20" t="e">
        <f>VLOOKUP(B23,Sheet3!B:E,4,0)</f>
        <v>#N/A</v>
      </c>
      <c r="F23" s="11"/>
      <c r="G23" s="4"/>
    </row>
    <row r="26" spans="1:7" ht="20.25" x14ac:dyDescent="0.3">
      <c r="A26" s="94" t="s">
        <v>24</v>
      </c>
      <c r="B26" s="94"/>
      <c r="C26" s="94"/>
      <c r="D26" s="94"/>
      <c r="E26" s="94"/>
      <c r="F26" s="94"/>
      <c r="G26" s="94"/>
    </row>
    <row r="27" spans="1:7" ht="20.25" x14ac:dyDescent="0.3">
      <c r="A27" s="94" t="s">
        <v>25</v>
      </c>
      <c r="B27" s="94"/>
      <c r="C27" s="94"/>
      <c r="D27" s="94"/>
      <c r="E27" s="94"/>
      <c r="F27" s="94"/>
      <c r="G27" s="94"/>
    </row>
    <row r="28" spans="1:7" x14ac:dyDescent="0.25">
      <c r="A28" s="82" t="s">
        <v>20</v>
      </c>
      <c r="B28" s="82"/>
      <c r="C28" s="82"/>
      <c r="D28" s="82"/>
      <c r="E28" s="82"/>
      <c r="F28" s="82"/>
      <c r="G28" s="82"/>
    </row>
    <row r="29" spans="1:7" ht="18.75" x14ac:dyDescent="0.3">
      <c r="B29" s="17"/>
      <c r="C29" s="81" t="s">
        <v>21</v>
      </c>
      <c r="D29" s="81"/>
      <c r="E29" s="81"/>
      <c r="F29" s="81"/>
      <c r="G29" s="16"/>
    </row>
    <row r="30" spans="1:7" x14ac:dyDescent="0.25">
      <c r="A30" s="82" t="s">
        <v>9</v>
      </c>
      <c r="B30" s="82"/>
      <c r="C30" s="82"/>
      <c r="D30" s="82"/>
      <c r="E30" s="82"/>
      <c r="F30" s="82"/>
      <c r="G30" s="82"/>
    </row>
    <row r="31" spans="1:7" x14ac:dyDescent="0.25">
      <c r="A31" s="82" t="s">
        <v>22</v>
      </c>
      <c r="B31" s="82"/>
      <c r="C31" s="82"/>
      <c r="D31" s="82"/>
      <c r="E31" s="82"/>
      <c r="F31" s="82"/>
      <c r="G31" s="10"/>
    </row>
    <row r="32" spans="1:7" x14ac:dyDescent="0.25">
      <c r="A32" s="2" t="s">
        <v>156</v>
      </c>
      <c r="B32" s="7"/>
      <c r="C32" s="18" t="e">
        <f>VLOOKUP(D35,Sheet3!G:H,2,0)</f>
        <v>#N/A</v>
      </c>
      <c r="D32" s="7"/>
      <c r="E32" s="7"/>
      <c r="F32" s="7"/>
      <c r="G32" s="10" t="str">
        <f>'Seating Plan'!D$3</f>
        <v>08.04.2026</v>
      </c>
    </row>
    <row r="33" spans="1:7" x14ac:dyDescent="0.25">
      <c r="A33" s="23"/>
      <c r="B33" s="23"/>
      <c r="C33" s="23"/>
      <c r="D33" s="23"/>
      <c r="E33" s="23"/>
      <c r="F33" s="23"/>
      <c r="G33" s="10" t="str">
        <f>'Seating Plan'!G$4</f>
        <v>Shift:I (10:00 to 11:00 AM)</v>
      </c>
    </row>
    <row r="34" spans="1:7" ht="23.1" customHeight="1" x14ac:dyDescent="0.25">
      <c r="A34" s="5" t="s">
        <v>1</v>
      </c>
      <c r="B34" s="5" t="s">
        <v>3</v>
      </c>
      <c r="C34" s="5" t="s">
        <v>2</v>
      </c>
      <c r="D34" s="5" t="s">
        <v>19</v>
      </c>
      <c r="E34" s="5" t="s">
        <v>4</v>
      </c>
      <c r="F34" s="5" t="s">
        <v>18</v>
      </c>
      <c r="G34" s="5" t="s">
        <v>5</v>
      </c>
    </row>
    <row r="35" spans="1:7" ht="23.1" customHeight="1" x14ac:dyDescent="0.25">
      <c r="A35" s="3"/>
      <c r="B35" s="68">
        <f>'Seating Plan'!H161</f>
        <v>0</v>
      </c>
      <c r="C35" s="20" t="e">
        <f>VLOOKUP(B35,Sheet3!B:E,2,0)</f>
        <v>#N/A</v>
      </c>
      <c r="D35" s="20" t="e">
        <f>VLOOKUP(B35,Sheet3!B:E,3,0)</f>
        <v>#N/A</v>
      </c>
      <c r="E35" s="20" t="e">
        <f>VLOOKUP(B35,Sheet3!B:E,4,0)</f>
        <v>#N/A</v>
      </c>
      <c r="F35" s="11" t="s">
        <v>47</v>
      </c>
      <c r="G35" s="4"/>
    </row>
    <row r="36" spans="1:7" ht="23.1" customHeight="1" x14ac:dyDescent="0.25">
      <c r="A36" s="3"/>
      <c r="B36" s="68">
        <f>'Seating Plan'!H162</f>
        <v>0</v>
      </c>
      <c r="C36" s="20" t="e">
        <f>VLOOKUP(B36,Sheet3!B:E,2,0)</f>
        <v>#N/A</v>
      </c>
      <c r="D36" s="20" t="e">
        <f>VLOOKUP(B36,Sheet3!B:E,3,0)</f>
        <v>#N/A</v>
      </c>
      <c r="E36" s="20" t="e">
        <f>VLOOKUP(B36,Sheet3!B:E,4,0)</f>
        <v>#N/A</v>
      </c>
      <c r="F36" s="11" t="s">
        <v>48</v>
      </c>
      <c r="G36" s="4"/>
    </row>
    <row r="37" spans="1:7" ht="23.1" customHeight="1" x14ac:dyDescent="0.25">
      <c r="A37" s="3"/>
      <c r="B37" s="68">
        <f>'Seating Plan'!H163</f>
        <v>0</v>
      </c>
      <c r="C37" s="20" t="e">
        <f>VLOOKUP(B37,Sheet3!B:E,2,0)</f>
        <v>#N/A</v>
      </c>
      <c r="D37" s="20" t="e">
        <f>VLOOKUP(B37,Sheet3!B:E,3,0)</f>
        <v>#N/A</v>
      </c>
      <c r="E37" s="20" t="e">
        <f>VLOOKUP(B37,Sheet3!B:E,4,0)</f>
        <v>#N/A</v>
      </c>
      <c r="F37" s="11" t="s">
        <v>49</v>
      </c>
      <c r="G37" s="4"/>
    </row>
    <row r="38" spans="1:7" ht="23.1" customHeight="1" x14ac:dyDescent="0.25">
      <c r="A38" s="3"/>
      <c r="B38" s="68">
        <f>'Seating Plan'!H164</f>
        <v>0</v>
      </c>
      <c r="C38" s="20" t="e">
        <f>VLOOKUP(B38,Sheet3!B:E,2,0)</f>
        <v>#N/A</v>
      </c>
      <c r="D38" s="20" t="e">
        <f>VLOOKUP(B38,Sheet3!B:E,3,0)</f>
        <v>#N/A</v>
      </c>
      <c r="E38" s="20" t="e">
        <f>VLOOKUP(B38,Sheet3!B:E,4,0)</f>
        <v>#N/A</v>
      </c>
      <c r="F38" s="11" t="s">
        <v>50</v>
      </c>
      <c r="G38" s="4"/>
    </row>
    <row r="39" spans="1:7" ht="23.1" customHeight="1" x14ac:dyDescent="0.25">
      <c r="A39" s="3"/>
      <c r="B39" s="68">
        <f>'Seating Plan'!H165</f>
        <v>0</v>
      </c>
      <c r="C39" s="20" t="e">
        <f>VLOOKUP(B39,Sheet3!B:E,2,0)</f>
        <v>#N/A</v>
      </c>
      <c r="D39" s="20" t="e">
        <f>VLOOKUP(B39,Sheet3!B:E,3,0)</f>
        <v>#N/A</v>
      </c>
      <c r="E39" s="20" t="e">
        <f>VLOOKUP(B39,Sheet3!B:E,4,0)</f>
        <v>#N/A</v>
      </c>
      <c r="F39" s="11" t="s">
        <v>51</v>
      </c>
      <c r="G39" s="4"/>
    </row>
    <row r="40" spans="1:7" ht="23.1" customHeight="1" x14ac:dyDescent="0.25">
      <c r="A40" s="3"/>
      <c r="B40" s="68">
        <f>'Seating Plan'!H166</f>
        <v>0</v>
      </c>
      <c r="C40" s="20" t="e">
        <f>VLOOKUP(B40,Sheet3!B:E,2,0)</f>
        <v>#N/A</v>
      </c>
      <c r="D40" s="20" t="e">
        <f>VLOOKUP(B40,Sheet3!B:E,3,0)</f>
        <v>#N/A</v>
      </c>
      <c r="E40" s="20" t="e">
        <f>VLOOKUP(B40,Sheet3!B:E,4,0)</f>
        <v>#N/A</v>
      </c>
      <c r="F40" s="11" t="s">
        <v>46</v>
      </c>
      <c r="G40" s="4"/>
    </row>
    <row r="41" spans="1:7" ht="23.1" customHeight="1" x14ac:dyDescent="0.25">
      <c r="A41" s="3"/>
      <c r="B41" s="68">
        <f>'Seating Plan'!H167</f>
        <v>0</v>
      </c>
      <c r="C41" s="20" t="e">
        <f>VLOOKUP(B41,Sheet3!B:E,2,0)</f>
        <v>#N/A</v>
      </c>
      <c r="D41" s="20" t="e">
        <f>VLOOKUP(B41,Sheet3!B:E,3,0)</f>
        <v>#N/A</v>
      </c>
      <c r="E41" s="20" t="e">
        <f>VLOOKUP(B41,Sheet3!B:E,4,0)</f>
        <v>#N/A</v>
      </c>
      <c r="F41" s="11" t="s">
        <v>52</v>
      </c>
      <c r="G41" s="4"/>
    </row>
    <row r="42" spans="1:7" ht="23.1" customHeight="1" x14ac:dyDescent="0.25">
      <c r="A42" s="3"/>
      <c r="B42" s="68">
        <f>'Seating Plan'!H168</f>
        <v>0</v>
      </c>
      <c r="C42" s="20" t="e">
        <f>VLOOKUP(B42,Sheet3!B:E,2,0)</f>
        <v>#N/A</v>
      </c>
      <c r="D42" s="20" t="e">
        <f>VLOOKUP(B42,Sheet3!B:E,3,0)</f>
        <v>#N/A</v>
      </c>
      <c r="E42" s="20" t="e">
        <f>VLOOKUP(B42,Sheet3!B:E,4,0)</f>
        <v>#N/A</v>
      </c>
      <c r="F42" s="11" t="s">
        <v>53</v>
      </c>
      <c r="G42" s="4"/>
    </row>
    <row r="43" spans="1:7" ht="23.1" customHeight="1" x14ac:dyDescent="0.25">
      <c r="A43" s="3"/>
      <c r="B43" s="68">
        <f>'Seating Plan'!H169</f>
        <v>0</v>
      </c>
      <c r="C43" s="20" t="e">
        <f>VLOOKUP(B43,Sheet3!B:E,2,0)</f>
        <v>#N/A</v>
      </c>
      <c r="D43" s="20" t="e">
        <f>VLOOKUP(B43,Sheet3!B:E,3,0)</f>
        <v>#N/A</v>
      </c>
      <c r="E43" s="20" t="e">
        <f>VLOOKUP(B43,Sheet3!B:E,4,0)</f>
        <v>#N/A</v>
      </c>
      <c r="F43" s="11" t="s">
        <v>54</v>
      </c>
      <c r="G43" s="4"/>
    </row>
    <row r="44" spans="1:7" ht="23.1" customHeight="1" x14ac:dyDescent="0.25">
      <c r="A44" s="3"/>
      <c r="B44" s="68">
        <f>'Seating Plan'!H170</f>
        <v>0</v>
      </c>
      <c r="C44" s="20" t="e">
        <f>VLOOKUP(B44,Sheet3!B:E,2,0)</f>
        <v>#N/A</v>
      </c>
      <c r="D44" s="20" t="e">
        <f>VLOOKUP(B44,Sheet3!B:E,3,0)</f>
        <v>#N/A</v>
      </c>
      <c r="E44" s="20" t="e">
        <f>VLOOKUP(B44,Sheet3!B:E,4,0)</f>
        <v>#N/A</v>
      </c>
      <c r="F44" s="11" t="s">
        <v>55</v>
      </c>
      <c r="G44" s="4"/>
    </row>
    <row r="45" spans="1:7" ht="23.1" customHeight="1" x14ac:dyDescent="0.25">
      <c r="A45" s="3"/>
      <c r="B45" s="68">
        <f>'Seating Plan'!H171</f>
        <v>0</v>
      </c>
      <c r="C45" s="20" t="e">
        <f>VLOOKUP(B45,Sheet3!B:E,2,0)</f>
        <v>#N/A</v>
      </c>
      <c r="D45" s="20" t="e">
        <f>VLOOKUP(B45,Sheet3!B:E,3,0)</f>
        <v>#N/A</v>
      </c>
      <c r="E45" s="20" t="e">
        <f>VLOOKUP(B45,Sheet3!B:E,4,0)</f>
        <v>#N/A</v>
      </c>
      <c r="F45" s="11" t="s">
        <v>56</v>
      </c>
      <c r="G45" s="4"/>
    </row>
    <row r="46" spans="1:7" ht="23.1" customHeight="1" x14ac:dyDescent="0.25">
      <c r="A46" s="3"/>
      <c r="B46" s="68">
        <f>'Seating Plan'!H172</f>
        <v>0</v>
      </c>
      <c r="C46" s="20" t="e">
        <f>VLOOKUP(B46,Sheet3!B:E,2,0)</f>
        <v>#N/A</v>
      </c>
      <c r="D46" s="20" t="e">
        <f>VLOOKUP(B46,Sheet3!B:E,3,0)</f>
        <v>#N/A</v>
      </c>
      <c r="E46" s="20" t="e">
        <f>VLOOKUP(B46,Sheet3!B:E,4,0)</f>
        <v>#N/A</v>
      </c>
      <c r="F46" s="11" t="s">
        <v>57</v>
      </c>
      <c r="G46" s="4"/>
    </row>
    <row r="47" spans="1:7" ht="23.1" hidden="1" customHeight="1" x14ac:dyDescent="0.25">
      <c r="A47" s="3"/>
      <c r="B47" s="14"/>
      <c r="C47" s="15"/>
      <c r="D47" s="20" t="e">
        <f>VLOOKUP(B47,Sheet3!B:E,3,0)</f>
        <v>#N/A</v>
      </c>
      <c r="E47" s="20" t="e">
        <f>VLOOKUP(B47,Sheet3!B:E,4,0)</f>
        <v>#N/A</v>
      </c>
      <c r="F47" s="11"/>
      <c r="G47" s="4"/>
    </row>
    <row r="48" spans="1:7" ht="23.1" hidden="1" customHeight="1" x14ac:dyDescent="0.25">
      <c r="A48" s="3"/>
      <c r="B48" s="14"/>
      <c r="C48" s="15"/>
      <c r="D48" s="20" t="e">
        <f>VLOOKUP(B48,Sheet3!B:E,3,0)</f>
        <v>#N/A</v>
      </c>
      <c r="E48" s="20" t="e">
        <f>VLOOKUP(B48,Sheet3!B:E,4,0)</f>
        <v>#N/A</v>
      </c>
      <c r="F48" s="11"/>
      <c r="G48" s="4"/>
    </row>
  </sheetData>
  <mergeCells count="12">
    <mergeCell ref="A1:G1"/>
    <mergeCell ref="A2:G2"/>
    <mergeCell ref="A26:G26"/>
    <mergeCell ref="A27:G27"/>
    <mergeCell ref="A31:F31"/>
    <mergeCell ref="A3:G3"/>
    <mergeCell ref="A5:G5"/>
    <mergeCell ref="C4:F4"/>
    <mergeCell ref="A28:G28"/>
    <mergeCell ref="C29:F29"/>
    <mergeCell ref="A30:G30"/>
    <mergeCell ref="A6:F6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orientation="portrait" r:id="rId1"/>
  <headerFooter>
    <oddFooter xml:space="preserve">&amp;L
Technical Staff Name and Sign&amp;C
Total Present:
Total Absent:&amp;R
Invigilator Name and Sign
Invigilator Name and Sign
</oddFooter>
  </headerFooter>
  <rowBreaks count="1" manualBreakCount="1">
    <brk id="25" max="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BBC44-8E81-4FB9-B4DE-6AEE6FD9DE21}">
  <dimension ref="A1:F42"/>
  <sheetViews>
    <sheetView topLeftCell="A25" zoomScaleNormal="100" workbookViewId="0">
      <selection activeCell="I35" sqref="I35"/>
    </sheetView>
  </sheetViews>
  <sheetFormatPr defaultColWidth="8.7109375" defaultRowHeight="15" x14ac:dyDescent="0.25"/>
  <cols>
    <col min="1" max="1" width="5.7109375" style="1" customWidth="1"/>
    <col min="2" max="2" width="15.85546875" style="1" customWidth="1"/>
    <col min="3" max="3" width="27.7109375" style="1" customWidth="1"/>
    <col min="4" max="4" width="12.42578125" style="1" customWidth="1"/>
    <col min="5" max="5" width="11.7109375" style="1" customWidth="1"/>
    <col min="6" max="6" width="23" style="1" customWidth="1"/>
    <col min="7" max="16384" width="8.7109375" style="1"/>
  </cols>
  <sheetData>
    <row r="1" spans="1:6" ht="39.950000000000003" customHeight="1" x14ac:dyDescent="0.3">
      <c r="A1" s="80" t="s">
        <v>168</v>
      </c>
      <c r="B1" s="81"/>
      <c r="C1" s="81"/>
      <c r="D1" s="81"/>
      <c r="E1" s="81"/>
      <c r="F1" s="81"/>
    </row>
    <row r="2" spans="1:6" ht="19.5" customHeight="1" x14ac:dyDescent="0.3">
      <c r="A2" s="81" t="s">
        <v>169</v>
      </c>
      <c r="B2" s="81"/>
      <c r="C2" s="81"/>
      <c r="D2" s="81"/>
      <c r="E2" s="81"/>
      <c r="F2" s="81"/>
    </row>
    <row r="3" spans="1:6" x14ac:dyDescent="0.25">
      <c r="A3" s="82" t="s">
        <v>162</v>
      </c>
      <c r="B3" s="82"/>
      <c r="C3" s="82"/>
      <c r="D3" s="82"/>
      <c r="E3" s="82"/>
      <c r="F3" s="82"/>
    </row>
    <row r="4" spans="1:6" x14ac:dyDescent="0.25">
      <c r="A4" s="82" t="s">
        <v>13</v>
      </c>
      <c r="B4" s="82"/>
      <c r="C4" s="82"/>
      <c r="D4" s="82"/>
      <c r="E4" s="82"/>
      <c r="F4" s="82"/>
    </row>
    <row r="5" spans="1:6" ht="17.100000000000001" customHeight="1" x14ac:dyDescent="0.25">
      <c r="A5" s="82" t="s">
        <v>0</v>
      </c>
      <c r="B5" s="82"/>
      <c r="C5" s="82"/>
      <c r="D5" s="82"/>
      <c r="E5" s="82"/>
      <c r="F5" s="82"/>
    </row>
    <row r="6" spans="1:6" ht="16.5" customHeight="1" x14ac:dyDescent="0.25">
      <c r="A6" s="2" t="s">
        <v>163</v>
      </c>
      <c r="B6" s="2"/>
      <c r="C6" s="18"/>
      <c r="F6" s="7" t="str">
        <f>'Seating Plan'!D$3</f>
        <v>08.04.2026</v>
      </c>
    </row>
    <row r="7" spans="1:6" ht="16.5" customHeight="1" x14ac:dyDescent="0.25">
      <c r="A7" s="2" t="s">
        <v>499</v>
      </c>
      <c r="F7" s="74" t="str">
        <f>'Seating Plan'!G$4</f>
        <v>Shift:I (10:00 to 11:00 AM)</v>
      </c>
    </row>
    <row r="8" spans="1:6" ht="24.6" customHeight="1" x14ac:dyDescent="0.25">
      <c r="A8" s="26" t="s">
        <v>1</v>
      </c>
      <c r="B8" s="26" t="s">
        <v>3</v>
      </c>
      <c r="C8" s="26" t="s">
        <v>2</v>
      </c>
      <c r="D8" s="26" t="s">
        <v>19</v>
      </c>
      <c r="E8" s="26" t="s">
        <v>4</v>
      </c>
      <c r="F8" s="26" t="s">
        <v>5</v>
      </c>
    </row>
    <row r="9" spans="1:6" ht="24.95" customHeight="1" x14ac:dyDescent="0.25">
      <c r="A9" s="28">
        <v>83</v>
      </c>
      <c r="B9" s="20" t="str">
        <f>'Seating Plan'!F174</f>
        <v xml:space="preserve">BTCS24O1086 </v>
      </c>
      <c r="C9" s="20" t="str">
        <f>VLOOKUP(B9,Sheet3!B:E,2,0)</f>
        <v>NITIN MALVIYA</v>
      </c>
      <c r="D9" s="21">
        <f>VLOOKUP(B9,Sheet3!B:E,3,0)</f>
        <v>1524</v>
      </c>
      <c r="E9" s="21">
        <f>VLOOKUP(B9,Sheet3!B:E,4,0)</f>
        <v>970962</v>
      </c>
      <c r="F9" s="4"/>
    </row>
    <row r="10" spans="1:6" ht="24.95" customHeight="1" x14ac:dyDescent="0.25">
      <c r="A10" s="28">
        <v>84</v>
      </c>
      <c r="B10" s="20" t="str">
        <f>'Seating Plan'!F175</f>
        <v xml:space="preserve">BTCS24O1087 </v>
      </c>
      <c r="C10" s="20" t="str">
        <f>VLOOKUP(B10,Sheet3!B:E,2,0)</f>
        <v>OM GANDHAWANE</v>
      </c>
      <c r="D10" s="21">
        <f>VLOOKUP(B10,Sheet3!B:E,3,0)</f>
        <v>1524</v>
      </c>
      <c r="E10" s="21">
        <f>VLOOKUP(B10,Sheet3!B:E,4,0)</f>
        <v>616268</v>
      </c>
      <c r="F10" s="4"/>
    </row>
    <row r="11" spans="1:6" ht="24.95" customHeight="1" x14ac:dyDescent="0.25">
      <c r="A11" s="28">
        <v>85</v>
      </c>
      <c r="B11" s="20" t="str">
        <f>'Seating Plan'!F176</f>
        <v xml:space="preserve">BTCS24O1089 </v>
      </c>
      <c r="C11" s="20" t="str">
        <f>VLOOKUP(B11,Sheet3!B:E,2,0)</f>
        <v>PARTH PANCHAL</v>
      </c>
      <c r="D11" s="21">
        <f>VLOOKUP(B11,Sheet3!B:E,3,0)</f>
        <v>1524</v>
      </c>
      <c r="E11" s="21">
        <f>VLOOKUP(B11,Sheet3!B:E,4,0)</f>
        <v>163173</v>
      </c>
      <c r="F11" s="4"/>
    </row>
    <row r="12" spans="1:6" ht="24.95" customHeight="1" x14ac:dyDescent="0.25">
      <c r="A12" s="28">
        <v>86</v>
      </c>
      <c r="B12" s="20" t="str">
        <f>'Seating Plan'!F177</f>
        <v xml:space="preserve">BTCS24O1090 </v>
      </c>
      <c r="C12" s="20" t="str">
        <f>VLOOKUP(B12,Sheet3!B:E,2,0)</f>
        <v>PARV AGRAWAL</v>
      </c>
      <c r="D12" s="21">
        <f>VLOOKUP(B12,Sheet3!B:E,3,0)</f>
        <v>1524</v>
      </c>
      <c r="E12" s="21">
        <f>VLOOKUP(B12,Sheet3!B:E,4,0)</f>
        <v>250326</v>
      </c>
      <c r="F12" s="4"/>
    </row>
    <row r="13" spans="1:6" ht="24.95" customHeight="1" x14ac:dyDescent="0.25">
      <c r="A13" s="28">
        <v>87</v>
      </c>
      <c r="B13" s="20" t="str">
        <f>'Seating Plan'!F178</f>
        <v xml:space="preserve">BTCS24O1091 </v>
      </c>
      <c r="C13" s="20" t="str">
        <f>VLOOKUP(B13,Sheet3!B:E,2,0)</f>
        <v>PIYUSH GAUTAM</v>
      </c>
      <c r="D13" s="21">
        <f>VLOOKUP(B13,Sheet3!B:E,3,0)</f>
        <v>1524</v>
      </c>
      <c r="E13" s="21">
        <f>VLOOKUP(B13,Sheet3!B:E,4,0)</f>
        <v>732430</v>
      </c>
      <c r="F13" s="4"/>
    </row>
    <row r="14" spans="1:6" ht="24.95" customHeight="1" x14ac:dyDescent="0.25">
      <c r="A14" s="28">
        <v>88</v>
      </c>
      <c r="B14" s="20" t="str">
        <f>'Seating Plan'!F179</f>
        <v xml:space="preserve">BTCS24O1092 </v>
      </c>
      <c r="C14" s="20" t="str">
        <f>VLOOKUP(B14,Sheet3!B:E,2,0)</f>
        <v>PIYUSH SHARMA</v>
      </c>
      <c r="D14" s="21">
        <f>VLOOKUP(B14,Sheet3!B:E,3,0)</f>
        <v>1524</v>
      </c>
      <c r="E14" s="21">
        <f>VLOOKUP(B14,Sheet3!B:E,4,0)</f>
        <v>241581</v>
      </c>
      <c r="F14" s="4"/>
    </row>
    <row r="15" spans="1:6" ht="24.95" customHeight="1" x14ac:dyDescent="0.25">
      <c r="A15" s="28">
        <v>89</v>
      </c>
      <c r="B15" s="20" t="str">
        <f>'Seating Plan'!F180</f>
        <v xml:space="preserve">BTCS24O1093 </v>
      </c>
      <c r="C15" s="20" t="str">
        <f>VLOOKUP(B15,Sheet3!B:E,2,0)</f>
        <v>PIYUSH SINGH</v>
      </c>
      <c r="D15" s="21">
        <f>VLOOKUP(B15,Sheet3!B:E,3,0)</f>
        <v>1524</v>
      </c>
      <c r="E15" s="21">
        <f>VLOOKUP(B15,Sheet3!B:E,4,0)</f>
        <v>313682</v>
      </c>
      <c r="F15" s="4"/>
    </row>
    <row r="16" spans="1:6" ht="24.95" customHeight="1" x14ac:dyDescent="0.25">
      <c r="A16" s="28">
        <v>90</v>
      </c>
      <c r="B16" s="20" t="str">
        <f>'Seating Plan'!F181</f>
        <v xml:space="preserve">BTCS24O1094 </v>
      </c>
      <c r="C16" s="20" t="str">
        <f>VLOOKUP(B16,Sheet3!B:E,2,0)</f>
        <v>PRAJVAL SAKI</v>
      </c>
      <c r="D16" s="21">
        <f>VLOOKUP(B16,Sheet3!B:E,3,0)</f>
        <v>1524</v>
      </c>
      <c r="E16" s="21">
        <f>VLOOKUP(B16,Sheet3!B:E,4,0)</f>
        <v>911467</v>
      </c>
      <c r="F16" s="4"/>
    </row>
    <row r="17" spans="1:6" ht="24.95" customHeight="1" x14ac:dyDescent="0.25">
      <c r="A17" s="28">
        <v>91</v>
      </c>
      <c r="B17" s="20" t="str">
        <f>'Seating Plan'!F182</f>
        <v xml:space="preserve">BTCS24O1095 </v>
      </c>
      <c r="C17" s="20" t="str">
        <f>VLOOKUP(B17,Sheet3!B:E,2,0)</f>
        <v>PRAKHAR NEMA</v>
      </c>
      <c r="D17" s="21">
        <f>VLOOKUP(B17,Sheet3!B:E,3,0)</f>
        <v>1524</v>
      </c>
      <c r="E17" s="21">
        <f>VLOOKUP(B17,Sheet3!B:E,4,0)</f>
        <v>768320</v>
      </c>
      <c r="F17" s="4"/>
    </row>
    <row r="18" spans="1:6" ht="24.95" customHeight="1" x14ac:dyDescent="0.25">
      <c r="A18" s="28">
        <v>92</v>
      </c>
      <c r="B18" s="20" t="str">
        <f>'Seating Plan'!F183</f>
        <v xml:space="preserve">BTCS24O1096 </v>
      </c>
      <c r="C18" s="20" t="str">
        <f>VLOOKUP(B18,Sheet3!B:E,2,0)</f>
        <v>PRANJAL BANSAL</v>
      </c>
      <c r="D18" s="21">
        <f>VLOOKUP(B18,Sheet3!B:E,3,0)</f>
        <v>1524</v>
      </c>
      <c r="E18" s="21">
        <f>VLOOKUP(B18,Sheet3!B:E,4,0)</f>
        <v>220382</v>
      </c>
      <c r="F18" s="4"/>
    </row>
    <row r="19" spans="1:6" ht="24.95" customHeight="1" x14ac:dyDescent="0.25">
      <c r="A19" s="28">
        <v>93</v>
      </c>
      <c r="B19" s="20" t="str">
        <f>'Seating Plan'!F184</f>
        <v xml:space="preserve">BTCS24O1097 </v>
      </c>
      <c r="C19" s="20" t="str">
        <f>VLOOKUP(B19,Sheet3!B:E,2,0)</f>
        <v>PRIYANKA CHANDERIYA</v>
      </c>
      <c r="D19" s="21">
        <f>VLOOKUP(B19,Sheet3!B:E,3,0)</f>
        <v>1524</v>
      </c>
      <c r="E19" s="21">
        <f>VLOOKUP(B19,Sheet3!B:E,4,0)</f>
        <v>463541</v>
      </c>
      <c r="F19" s="4"/>
    </row>
    <row r="20" spans="1:6" ht="24.95" customHeight="1" x14ac:dyDescent="0.25">
      <c r="A20" s="28">
        <v>94</v>
      </c>
      <c r="B20" s="20" t="str">
        <f>'Seating Plan'!F185</f>
        <v xml:space="preserve">BTCS24O1098 </v>
      </c>
      <c r="C20" s="20" t="str">
        <f>VLOOKUP(B20,Sheet3!B:E,2,0)</f>
        <v>PRIYANSHI MAHESHWARI</v>
      </c>
      <c r="D20" s="21">
        <f>VLOOKUP(B20,Sheet3!B:E,3,0)</f>
        <v>1524</v>
      </c>
      <c r="E20" s="21">
        <f>VLOOKUP(B20,Sheet3!B:E,4,0)</f>
        <v>447696</v>
      </c>
      <c r="F20" s="4"/>
    </row>
    <row r="21" spans="1:6" ht="24.95" customHeight="1" x14ac:dyDescent="0.25">
      <c r="A21" s="28">
        <v>95</v>
      </c>
      <c r="B21" s="20" t="str">
        <f>'Seating Plan'!F186</f>
        <v xml:space="preserve">BTCS24O1099 </v>
      </c>
      <c r="C21" s="20" t="str">
        <f>VLOOKUP(B21,Sheet3!B:E,2,0)</f>
        <v>PRIYANSHU AISHWAR</v>
      </c>
      <c r="D21" s="21">
        <f>VLOOKUP(B21,Sheet3!B:E,3,0)</f>
        <v>1524</v>
      </c>
      <c r="E21" s="21">
        <f>VLOOKUP(B21,Sheet3!B:E,4,0)</f>
        <v>243400</v>
      </c>
      <c r="F21" s="4"/>
    </row>
    <row r="22" spans="1:6" ht="24.95" customHeight="1" x14ac:dyDescent="0.25">
      <c r="A22" s="28">
        <v>96</v>
      </c>
      <c r="B22" s="20" t="str">
        <f>'Seating Plan'!F187</f>
        <v xml:space="preserve">BTCS24O1101 </v>
      </c>
      <c r="C22" s="20" t="str">
        <f>VLOOKUP(B22,Sheet3!B:E,2,0)</f>
        <v>PUSHPENDRA SURYAWANSHI</v>
      </c>
      <c r="D22" s="21">
        <f>VLOOKUP(B22,Sheet3!B:E,3,0)</f>
        <v>1524</v>
      </c>
      <c r="E22" s="21">
        <f>VLOOKUP(B22,Sheet3!B:E,4,0)</f>
        <v>707878</v>
      </c>
      <c r="F22" s="4"/>
    </row>
    <row r="23" spans="1:6" ht="24.95" customHeight="1" x14ac:dyDescent="0.25">
      <c r="A23" s="28">
        <v>97</v>
      </c>
      <c r="B23" s="68" t="str">
        <f>'Seating Plan'!H174</f>
        <v xml:space="preserve">BTCS24O1102 </v>
      </c>
      <c r="C23" s="20" t="str">
        <f>VLOOKUP(B23,Sheet3!B:E,2,0)</f>
        <v>RAHUL BAGHEL</v>
      </c>
      <c r="D23" s="21">
        <f>VLOOKUP(B23,Sheet3!B:E,3,0)</f>
        <v>1524</v>
      </c>
      <c r="E23" s="21">
        <f>VLOOKUP(B23,Sheet3!B:E,4,0)</f>
        <v>278605</v>
      </c>
      <c r="F23" s="4"/>
    </row>
    <row r="24" spans="1:6" ht="24.95" customHeight="1" x14ac:dyDescent="0.25">
      <c r="A24" s="28">
        <v>98</v>
      </c>
      <c r="B24" s="68" t="str">
        <f>'Seating Plan'!H175</f>
        <v xml:space="preserve">BTCS24O1103 </v>
      </c>
      <c r="C24" s="20" t="str">
        <f>VLOOKUP(B24,Sheet3!B:E,2,0)</f>
        <v>RAHUL YADAV</v>
      </c>
      <c r="D24" s="21">
        <f>VLOOKUP(B24,Sheet3!B:E,3,0)</f>
        <v>1524</v>
      </c>
      <c r="E24" s="21">
        <f>VLOOKUP(B24,Sheet3!B:E,4,0)</f>
        <v>805698</v>
      </c>
      <c r="F24" s="4"/>
    </row>
    <row r="25" spans="1:6" ht="24.95" customHeight="1" x14ac:dyDescent="0.25">
      <c r="A25" s="28">
        <v>99</v>
      </c>
      <c r="B25" s="68" t="str">
        <f>'Seating Plan'!H176</f>
        <v xml:space="preserve">BTCS24O1104 </v>
      </c>
      <c r="C25" s="20" t="str">
        <f>VLOOKUP(B25,Sheet3!B:E,2,0)</f>
        <v>RAJEEV RAGHUWANSHI</v>
      </c>
      <c r="D25" s="21">
        <f>VLOOKUP(B25,Sheet3!B:E,3,0)</f>
        <v>1524</v>
      </c>
      <c r="E25" s="21">
        <f>VLOOKUP(B25,Sheet3!B:E,4,0)</f>
        <v>104718</v>
      </c>
      <c r="F25" s="4"/>
    </row>
    <row r="26" spans="1:6" ht="24.95" customHeight="1" x14ac:dyDescent="0.25">
      <c r="A26" s="28">
        <v>100</v>
      </c>
      <c r="B26" s="68" t="str">
        <f>'Seating Plan'!H177</f>
        <v xml:space="preserve">BTCS24O1105 </v>
      </c>
      <c r="C26" s="20" t="str">
        <f>VLOOKUP(B26,Sheet3!B:E,2,0)</f>
        <v>RAJSHI SURYAWANSHI</v>
      </c>
      <c r="D26" s="21">
        <f>VLOOKUP(B26,Sheet3!B:E,3,0)</f>
        <v>1524</v>
      </c>
      <c r="E26" s="21">
        <f>VLOOKUP(B26,Sheet3!B:E,4,0)</f>
        <v>146879</v>
      </c>
      <c r="F26" s="4"/>
    </row>
    <row r="27" spans="1:6" ht="24.95" customHeight="1" x14ac:dyDescent="0.25">
      <c r="A27" s="28">
        <v>101</v>
      </c>
      <c r="B27" s="68" t="str">
        <f>'Seating Plan'!H178</f>
        <v xml:space="preserve">BTCS24O1106 </v>
      </c>
      <c r="C27" s="20" t="str">
        <f>VLOOKUP(B27,Sheet3!B:E,2,0)</f>
        <v>RASAL SINGH NARWARIA</v>
      </c>
      <c r="D27" s="21">
        <f>VLOOKUP(B27,Sheet3!B:E,3,0)</f>
        <v>1524</v>
      </c>
      <c r="E27" s="21">
        <f>VLOOKUP(B27,Sheet3!B:E,4,0)</f>
        <v>461509</v>
      </c>
      <c r="F27" s="4"/>
    </row>
    <row r="28" spans="1:6" ht="24.95" customHeight="1" x14ac:dyDescent="0.25">
      <c r="A28" s="28">
        <v>102</v>
      </c>
      <c r="B28" s="68" t="str">
        <f>'Seating Plan'!H179</f>
        <v xml:space="preserve">BTCS24O1107 </v>
      </c>
      <c r="C28" s="20" t="str">
        <f>VLOOKUP(B28,Sheet3!B:E,2,0)</f>
        <v>RASHI RAJORIYA</v>
      </c>
      <c r="D28" s="21">
        <f>VLOOKUP(B28,Sheet3!B:E,3,0)</f>
        <v>1524</v>
      </c>
      <c r="E28" s="21">
        <f>VLOOKUP(B28,Sheet3!B:E,4,0)</f>
        <v>422350</v>
      </c>
      <c r="F28" s="4"/>
    </row>
    <row r="29" spans="1:6" ht="24.95" customHeight="1" x14ac:dyDescent="0.25">
      <c r="A29" s="28">
        <v>103</v>
      </c>
      <c r="B29" s="68" t="str">
        <f>'Seating Plan'!H180</f>
        <v xml:space="preserve">BTCS24O1108 </v>
      </c>
      <c r="C29" s="20" t="str">
        <f>VLOOKUP(B29,Sheet3!B:E,2,0)</f>
        <v>RIYA BARMAIYA</v>
      </c>
      <c r="D29" s="21">
        <f>VLOOKUP(B29,Sheet3!B:E,3,0)</f>
        <v>1524</v>
      </c>
      <c r="E29" s="21">
        <f>VLOOKUP(B29,Sheet3!B:E,4,0)</f>
        <v>409024</v>
      </c>
      <c r="F29" s="4"/>
    </row>
    <row r="30" spans="1:6" ht="24.95" customHeight="1" x14ac:dyDescent="0.25">
      <c r="A30" s="28">
        <v>104</v>
      </c>
      <c r="B30" s="68" t="str">
        <f>'Seating Plan'!H181</f>
        <v xml:space="preserve">BTCS24O1109 </v>
      </c>
      <c r="C30" s="20" t="str">
        <f>VLOOKUP(B30,Sheet3!B:E,2,0)</f>
        <v>ROHIT ARYA</v>
      </c>
      <c r="D30" s="21">
        <f>VLOOKUP(B30,Sheet3!B:E,3,0)</f>
        <v>1524</v>
      </c>
      <c r="E30" s="21">
        <f>VLOOKUP(B30,Sheet3!B:E,4,0)</f>
        <v>991815</v>
      </c>
      <c r="F30" s="4"/>
    </row>
    <row r="31" spans="1:6" ht="24.95" customHeight="1" x14ac:dyDescent="0.25">
      <c r="A31" s="28">
        <v>105</v>
      </c>
      <c r="B31" s="68" t="str">
        <f>'Seating Plan'!H182</f>
        <v xml:space="preserve">BTCS24O1110 </v>
      </c>
      <c r="C31" s="20" t="str">
        <f>VLOOKUP(B31,Sheet3!B:E,2,0)</f>
        <v>ROHIT MOURYA</v>
      </c>
      <c r="D31" s="21">
        <f>VLOOKUP(B31,Sheet3!B:E,3,0)</f>
        <v>1524</v>
      </c>
      <c r="E31" s="21">
        <f>VLOOKUP(B31,Sheet3!B:E,4,0)</f>
        <v>529591</v>
      </c>
      <c r="F31" s="4"/>
    </row>
    <row r="32" spans="1:6" ht="24.95" customHeight="1" x14ac:dyDescent="0.25">
      <c r="A32" s="28">
        <v>106</v>
      </c>
      <c r="B32" s="68" t="str">
        <f>'Seating Plan'!H183</f>
        <v xml:space="preserve">BTCS24O1111 </v>
      </c>
      <c r="C32" s="20" t="str">
        <f>VLOOKUP(B32,Sheet3!B:E,2,0)</f>
        <v>ROSHAN MODI</v>
      </c>
      <c r="D32" s="21">
        <f>VLOOKUP(B32,Sheet3!B:E,3,0)</f>
        <v>1524</v>
      </c>
      <c r="E32" s="21">
        <f>VLOOKUP(B32,Sheet3!B:E,4,0)</f>
        <v>797700</v>
      </c>
      <c r="F32" s="4"/>
    </row>
    <row r="33" spans="1:6" ht="24.95" customHeight="1" x14ac:dyDescent="0.25">
      <c r="A33" s="28">
        <v>107</v>
      </c>
      <c r="B33" s="68" t="str">
        <f>'Seating Plan'!H184</f>
        <v xml:space="preserve">BTCS24O1112 </v>
      </c>
      <c r="C33" s="20" t="str">
        <f>VLOOKUP(B33,Sheet3!B:E,2,0)</f>
        <v>SACHIN KUMAR</v>
      </c>
      <c r="D33" s="21">
        <f>VLOOKUP(B33,Sheet3!B:E,3,0)</f>
        <v>1524</v>
      </c>
      <c r="E33" s="21">
        <f>VLOOKUP(B33,Sheet3!B:E,4,0)</f>
        <v>600088</v>
      </c>
      <c r="F33" s="4"/>
    </row>
    <row r="34" spans="1:6" ht="24.95" customHeight="1" x14ac:dyDescent="0.25">
      <c r="A34" s="28">
        <v>108</v>
      </c>
      <c r="B34" s="68" t="str">
        <f>'Seating Plan'!H185</f>
        <v xml:space="preserve">BTCS24O1113 </v>
      </c>
      <c r="C34" s="20" t="str">
        <f>VLOOKUP(B34,Sheet3!B:E,2,0)</f>
        <v>SACHIN MAKWANA</v>
      </c>
      <c r="D34" s="21">
        <f>VLOOKUP(B34,Sheet3!B:E,3,0)</f>
        <v>1524</v>
      </c>
      <c r="E34" s="21">
        <f>VLOOKUP(B34,Sheet3!B:E,4,0)</f>
        <v>333168</v>
      </c>
      <c r="F34" s="4"/>
    </row>
    <row r="35" spans="1:6" ht="24.95" customHeight="1" x14ac:dyDescent="0.25">
      <c r="A35" s="28">
        <v>109</v>
      </c>
      <c r="B35" s="68" t="str">
        <f>'Seating Plan'!H186</f>
        <v xml:space="preserve">BTCS24O1114 </v>
      </c>
      <c r="C35" s="20" t="str">
        <f>VLOOKUP(B35,Sheet3!B:E,2,0)</f>
        <v>SAHARSH PAREEK</v>
      </c>
      <c r="D35" s="21">
        <f>VLOOKUP(B35,Sheet3!B:E,3,0)</f>
        <v>1524</v>
      </c>
      <c r="E35" s="21">
        <f>VLOOKUP(B35,Sheet3!B:E,4,0)</f>
        <v>998596</v>
      </c>
      <c r="F35" s="4"/>
    </row>
    <row r="36" spans="1:6" ht="24.95" customHeight="1" x14ac:dyDescent="0.25">
      <c r="A36" s="28">
        <v>110</v>
      </c>
      <c r="B36" s="68" t="str">
        <f>'Seating Plan'!H187</f>
        <v xml:space="preserve">BTCS24O1115 </v>
      </c>
      <c r="C36" s="20" t="str">
        <f>VLOOKUP(B36,Sheet3!B:E,2,0)</f>
        <v>SAHIL JAIN</v>
      </c>
      <c r="D36" s="21">
        <f>VLOOKUP(B36,Sheet3!B:E,3,0)</f>
        <v>1524</v>
      </c>
      <c r="E36" s="21">
        <f>VLOOKUP(B36,Sheet3!B:E,4,0)</f>
        <v>442993</v>
      </c>
      <c r="F36" s="4"/>
    </row>
    <row r="38" spans="1:6" ht="24.95" customHeight="1" x14ac:dyDescent="0.25">
      <c r="A38" s="1" t="s">
        <v>170</v>
      </c>
    </row>
    <row r="39" spans="1:6" ht="24.95" customHeight="1" x14ac:dyDescent="0.25">
      <c r="A39" s="1" t="s">
        <v>171</v>
      </c>
      <c r="D39" s="1" t="s">
        <v>173</v>
      </c>
    </row>
    <row r="40" spans="1:6" ht="24.95" customHeight="1" x14ac:dyDescent="0.25"/>
    <row r="41" spans="1:6" ht="24.95" customHeight="1" x14ac:dyDescent="0.25">
      <c r="D41" s="1" t="s">
        <v>174</v>
      </c>
    </row>
    <row r="42" spans="1:6" ht="24.95" customHeight="1" x14ac:dyDescent="0.25">
      <c r="A42" s="1" t="s">
        <v>172</v>
      </c>
    </row>
  </sheetData>
  <mergeCells count="5">
    <mergeCell ref="A5:F5"/>
    <mergeCell ref="A1:F1"/>
    <mergeCell ref="A2:F2"/>
    <mergeCell ref="A3:F3"/>
    <mergeCell ref="A4:F4"/>
  </mergeCells>
  <phoneticPr fontId="10" type="noConversion"/>
  <pageMargins left="0.23622047244094491" right="0.23622047244094491" top="0.35433070866141736" bottom="0.35433070866141736" header="0.31496062992125984" footer="0.31496062992125984"/>
  <pageSetup paperSize="9" orientation="portrait" r:id="rId1"/>
  <rowBreaks count="1" manualBreakCount="1">
    <brk id="30" max="5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5089-D4C2-42B8-B7F7-D07ACF93F6E6}">
  <dimension ref="A1:F42"/>
  <sheetViews>
    <sheetView zoomScaleNormal="100" workbookViewId="0">
      <selection activeCell="C38" sqref="C38"/>
    </sheetView>
  </sheetViews>
  <sheetFormatPr defaultColWidth="8.85546875" defaultRowHeight="15" x14ac:dyDescent="0.25"/>
  <cols>
    <col min="1" max="1" width="6.42578125" bestFit="1" customWidth="1"/>
    <col min="2" max="2" width="16" bestFit="1" customWidth="1"/>
    <col min="3" max="3" width="26.140625" customWidth="1"/>
    <col min="4" max="4" width="11.7109375" customWidth="1"/>
    <col min="5" max="5" width="12.7109375" customWidth="1"/>
    <col min="6" max="6" width="23.5703125" customWidth="1"/>
  </cols>
  <sheetData>
    <row r="1" spans="1:6" ht="39.950000000000003" customHeight="1" x14ac:dyDescent="0.3">
      <c r="A1" s="80" t="s">
        <v>168</v>
      </c>
      <c r="B1" s="81"/>
      <c r="C1" s="81"/>
      <c r="D1" s="81"/>
      <c r="E1" s="81"/>
      <c r="F1" s="81"/>
    </row>
    <row r="2" spans="1:6" ht="18.75" x14ac:dyDescent="0.3">
      <c r="A2" s="81" t="s">
        <v>169</v>
      </c>
      <c r="B2" s="81"/>
      <c r="C2" s="81"/>
      <c r="D2" s="81"/>
      <c r="E2" s="81"/>
      <c r="F2" s="81"/>
    </row>
    <row r="3" spans="1:6" x14ac:dyDescent="0.25">
      <c r="A3" s="82" t="s">
        <v>162</v>
      </c>
      <c r="B3" s="82"/>
      <c r="C3" s="82"/>
      <c r="D3" s="82"/>
      <c r="E3" s="82"/>
      <c r="F3" s="82"/>
    </row>
    <row r="4" spans="1:6" x14ac:dyDescent="0.25">
      <c r="A4" s="83" t="s">
        <v>27</v>
      </c>
      <c r="B4" s="82"/>
      <c r="C4" s="82"/>
      <c r="D4" s="82"/>
      <c r="E4" s="82"/>
      <c r="F4" s="82"/>
    </row>
    <row r="5" spans="1:6" x14ac:dyDescent="0.25">
      <c r="A5" s="82" t="s">
        <v>0</v>
      </c>
      <c r="B5" s="82"/>
      <c r="C5" s="82"/>
      <c r="D5" s="82"/>
      <c r="E5" s="82"/>
      <c r="F5" s="82"/>
    </row>
    <row r="6" spans="1:6" x14ac:dyDescent="0.25">
      <c r="A6" s="2" t="s">
        <v>165</v>
      </c>
      <c r="B6" s="1"/>
      <c r="C6" s="18"/>
      <c r="D6" s="1"/>
      <c r="E6" s="1"/>
      <c r="F6" s="7" t="str">
        <f>'Seating Plan'!D$3</f>
        <v>08.04.2026</v>
      </c>
    </row>
    <row r="7" spans="1:6" x14ac:dyDescent="0.25">
      <c r="A7" s="2" t="s">
        <v>499</v>
      </c>
      <c r="B7" s="1"/>
      <c r="C7" s="1"/>
      <c r="D7" s="1"/>
      <c r="E7" s="84" t="str">
        <f>'Seating Plan'!G$4</f>
        <v>Shift:I (10:00 to 11:00 AM)</v>
      </c>
      <c r="F7" s="84"/>
    </row>
    <row r="8" spans="1:6" ht="23.1" customHeight="1" x14ac:dyDescent="0.25">
      <c r="A8" s="5" t="s">
        <v>1</v>
      </c>
      <c r="B8" s="5" t="s">
        <v>3</v>
      </c>
      <c r="C8" s="5" t="s">
        <v>2</v>
      </c>
      <c r="D8" s="5" t="s">
        <v>19</v>
      </c>
      <c r="E8" s="5" t="s">
        <v>4</v>
      </c>
      <c r="F8" s="5" t="s">
        <v>5</v>
      </c>
    </row>
    <row r="9" spans="1:6" ht="23.1" customHeight="1" x14ac:dyDescent="0.25">
      <c r="A9" s="3">
        <v>55</v>
      </c>
      <c r="B9" s="68" t="str">
        <f>'Seating Plan'!F190</f>
        <v xml:space="preserve">BTCS24O1058 </v>
      </c>
      <c r="C9" s="20" t="str">
        <f>VLOOKUP(B9,Sheet3!B:E,2,0)</f>
        <v>HEMANT MATHUR</v>
      </c>
      <c r="D9" s="21">
        <f>VLOOKUP(B9,Sheet3!B:E,3,0)</f>
        <v>1524</v>
      </c>
      <c r="E9" s="21">
        <f>VLOOKUP(B9,Sheet3!B:E,4,0)</f>
        <v>395384</v>
      </c>
      <c r="F9" s="4"/>
    </row>
    <row r="10" spans="1:6" ht="23.1" customHeight="1" x14ac:dyDescent="0.25">
      <c r="A10" s="3">
        <v>56</v>
      </c>
      <c r="B10" s="68" t="str">
        <f>'Seating Plan'!F191</f>
        <v xml:space="preserve">BTCS24O1059 </v>
      </c>
      <c r="C10" s="20" t="str">
        <f>VLOOKUP(B10,Sheet3!B:E,2,0)</f>
        <v>HIMANSHU RATHORE</v>
      </c>
      <c r="D10" s="21">
        <f>VLOOKUP(B10,Sheet3!B:E,3,0)</f>
        <v>1524</v>
      </c>
      <c r="E10" s="21">
        <f>VLOOKUP(B10,Sheet3!B:E,4,0)</f>
        <v>894581</v>
      </c>
      <c r="F10" s="4"/>
    </row>
    <row r="11" spans="1:6" ht="23.1" customHeight="1" x14ac:dyDescent="0.25">
      <c r="A11" s="3">
        <v>57</v>
      </c>
      <c r="B11" s="68" t="str">
        <f>'Seating Plan'!F192</f>
        <v xml:space="preserve">BTCS24O1060 </v>
      </c>
      <c r="C11" s="20" t="str">
        <f>VLOOKUP(B11,Sheet3!B:E,2,0)</f>
        <v>HITESH SANGHI</v>
      </c>
      <c r="D11" s="21">
        <f>VLOOKUP(B11,Sheet3!B:E,3,0)</f>
        <v>1524</v>
      </c>
      <c r="E11" s="21">
        <f>VLOOKUP(B11,Sheet3!B:E,4,0)</f>
        <v>697478</v>
      </c>
      <c r="F11" s="4"/>
    </row>
    <row r="12" spans="1:6" ht="23.1" customHeight="1" x14ac:dyDescent="0.25">
      <c r="A12" s="3">
        <v>58</v>
      </c>
      <c r="B12" s="68" t="str">
        <f>'Seating Plan'!F193</f>
        <v xml:space="preserve">BTCS24O1061 </v>
      </c>
      <c r="C12" s="20" t="str">
        <f>VLOOKUP(B12,Sheet3!B:E,2,0)</f>
        <v>HRITAM SHRIVASTAVA</v>
      </c>
      <c r="D12" s="21">
        <f>VLOOKUP(B12,Sheet3!B:E,3,0)</f>
        <v>1524</v>
      </c>
      <c r="E12" s="21">
        <f>VLOOKUP(B12,Sheet3!B:E,4,0)</f>
        <v>534353</v>
      </c>
      <c r="F12" s="4"/>
    </row>
    <row r="13" spans="1:6" ht="23.1" customHeight="1" x14ac:dyDescent="0.25">
      <c r="A13" s="3">
        <v>59</v>
      </c>
      <c r="B13" s="68" t="str">
        <f>'Seating Plan'!F194</f>
        <v xml:space="preserve">BTCS24O1062 </v>
      </c>
      <c r="C13" s="20" t="str">
        <f>VLOOKUP(B13,Sheet3!B:E,2,0)</f>
        <v>ISHWAR PATEL</v>
      </c>
      <c r="D13" s="21">
        <f>VLOOKUP(B13,Sheet3!B:E,3,0)</f>
        <v>1524</v>
      </c>
      <c r="E13" s="21">
        <f>VLOOKUP(B13,Sheet3!B:E,4,0)</f>
        <v>463971</v>
      </c>
      <c r="F13" s="4"/>
    </row>
    <row r="14" spans="1:6" ht="23.1" customHeight="1" x14ac:dyDescent="0.25">
      <c r="A14" s="3">
        <v>60</v>
      </c>
      <c r="B14" s="68" t="str">
        <f>'Seating Plan'!F195</f>
        <v xml:space="preserve">BTCS24O1063 </v>
      </c>
      <c r="C14" s="20" t="str">
        <f>VLOOKUP(B14,Sheet3!B:E,2,0)</f>
        <v>JATIN PATIDAR</v>
      </c>
      <c r="D14" s="21">
        <f>VLOOKUP(B14,Sheet3!B:E,3,0)</f>
        <v>1524</v>
      </c>
      <c r="E14" s="21">
        <f>VLOOKUP(B14,Sheet3!B:E,4,0)</f>
        <v>313894</v>
      </c>
      <c r="F14" s="4"/>
    </row>
    <row r="15" spans="1:6" ht="23.1" customHeight="1" x14ac:dyDescent="0.25">
      <c r="A15" s="3">
        <v>61</v>
      </c>
      <c r="B15" s="68" t="str">
        <f>'Seating Plan'!F196</f>
        <v xml:space="preserve">BTCS24O1064 </v>
      </c>
      <c r="C15" s="20" t="str">
        <f>VLOOKUP(B15,Sheet3!B:E,2,0)</f>
        <v>JAYESH SONEKAR</v>
      </c>
      <c r="D15" s="21">
        <f>VLOOKUP(B15,Sheet3!B:E,3,0)</f>
        <v>1524</v>
      </c>
      <c r="E15" s="21">
        <f>VLOOKUP(B15,Sheet3!B:E,4,0)</f>
        <v>321384</v>
      </c>
      <c r="F15" s="4"/>
    </row>
    <row r="16" spans="1:6" ht="23.1" customHeight="1" x14ac:dyDescent="0.25">
      <c r="A16" s="3">
        <v>62</v>
      </c>
      <c r="B16" s="68" t="str">
        <f>'Seating Plan'!F197</f>
        <v xml:space="preserve">BTCS24O1065 </v>
      </c>
      <c r="C16" s="20" t="str">
        <f>VLOOKUP(B16,Sheet3!B:E,2,0)</f>
        <v>JAYHIND AHIRWAR</v>
      </c>
      <c r="D16" s="21">
        <f>VLOOKUP(B16,Sheet3!B:E,3,0)</f>
        <v>1524</v>
      </c>
      <c r="E16" s="21">
        <f>VLOOKUP(B16,Sheet3!B:E,4,0)</f>
        <v>432428</v>
      </c>
      <c r="F16" s="4"/>
    </row>
    <row r="17" spans="1:6" ht="23.1" customHeight="1" x14ac:dyDescent="0.25">
      <c r="A17" s="3">
        <v>63</v>
      </c>
      <c r="B17" s="68" t="str">
        <f>'Seating Plan'!F198</f>
        <v xml:space="preserve">BTCS24O1066 </v>
      </c>
      <c r="C17" s="20" t="str">
        <f>VLOOKUP(B17,Sheet3!B:E,2,0)</f>
        <v>JHNAVI BHADKARIYA</v>
      </c>
      <c r="D17" s="21">
        <f>VLOOKUP(B17,Sheet3!B:E,3,0)</f>
        <v>1524</v>
      </c>
      <c r="E17" s="21">
        <f>VLOOKUP(B17,Sheet3!B:E,4,0)</f>
        <v>925388</v>
      </c>
      <c r="F17" s="20"/>
    </row>
    <row r="18" spans="1:6" ht="23.1" customHeight="1" x14ac:dyDescent="0.25">
      <c r="A18" s="3">
        <v>64</v>
      </c>
      <c r="B18" s="68" t="str">
        <f>'Seating Plan'!F199</f>
        <v xml:space="preserve">BTCS24O1067 </v>
      </c>
      <c r="C18" s="20" t="str">
        <f>VLOOKUP(B18,Sheet3!B:E,2,0)</f>
        <v>KANIKA JAIN</v>
      </c>
      <c r="D18" s="21">
        <f>VLOOKUP(B18,Sheet3!B:E,3,0)</f>
        <v>1524</v>
      </c>
      <c r="E18" s="21">
        <f>VLOOKUP(B18,Sheet3!B:E,4,0)</f>
        <v>711701</v>
      </c>
      <c r="F18" s="20"/>
    </row>
    <row r="19" spans="1:6" ht="23.1" customHeight="1" x14ac:dyDescent="0.25">
      <c r="A19" s="3">
        <v>65</v>
      </c>
      <c r="B19" s="68" t="str">
        <f>'Seating Plan'!F200</f>
        <v xml:space="preserve">BTCS24O1068 </v>
      </c>
      <c r="C19" s="20" t="str">
        <f>VLOOKUP(B19,Sheet3!B:E,2,0)</f>
        <v>KARTIK SINGHAL</v>
      </c>
      <c r="D19" s="21">
        <f>VLOOKUP(B19,Sheet3!B:E,3,0)</f>
        <v>1524</v>
      </c>
      <c r="E19" s="21">
        <f>VLOOKUP(B19,Sheet3!B:E,4,0)</f>
        <v>387503</v>
      </c>
      <c r="F19" s="20"/>
    </row>
    <row r="20" spans="1:6" ht="23.1" customHeight="1" x14ac:dyDescent="0.25">
      <c r="A20" s="3">
        <v>66</v>
      </c>
      <c r="B20" s="68" t="str">
        <f>'Seating Plan'!F201</f>
        <v xml:space="preserve">BTCS24O1069 </v>
      </c>
      <c r="C20" s="20" t="str">
        <f>VLOOKUP(B20,Sheet3!B:E,2,0)</f>
        <v>KHUSHAL SINGH</v>
      </c>
      <c r="D20" s="21">
        <f>VLOOKUP(B20,Sheet3!B:E,3,0)</f>
        <v>1524</v>
      </c>
      <c r="E20" s="21">
        <f>VLOOKUP(B20,Sheet3!B:E,4,0)</f>
        <v>285253</v>
      </c>
      <c r="F20" s="20"/>
    </row>
    <row r="21" spans="1:6" ht="23.1" customHeight="1" x14ac:dyDescent="0.25">
      <c r="A21" s="3">
        <v>67</v>
      </c>
      <c r="B21" s="68" t="str">
        <f>'Seating Plan'!F202</f>
        <v xml:space="preserve">BTCS24O1070 </v>
      </c>
      <c r="C21" s="20" t="str">
        <f>VLOOKUP(B21,Sheet3!B:E,2,0)</f>
        <v>KHUSHI BANSAL</v>
      </c>
      <c r="D21" s="21">
        <f>VLOOKUP(B21,Sheet3!B:E,3,0)</f>
        <v>1524</v>
      </c>
      <c r="E21" s="21">
        <f>VLOOKUP(B21,Sheet3!B:E,4,0)</f>
        <v>500406</v>
      </c>
      <c r="F21" s="20"/>
    </row>
    <row r="22" spans="1:6" ht="23.1" customHeight="1" x14ac:dyDescent="0.25">
      <c r="A22" s="3">
        <v>68</v>
      </c>
      <c r="B22" s="68" t="str">
        <f>'Seating Plan'!F203</f>
        <v xml:space="preserve">BTCS24O1071 </v>
      </c>
      <c r="C22" s="20" t="str">
        <f>VLOOKUP(B22,Sheet3!B:E,2,0)</f>
        <v>KHUSHI GARG</v>
      </c>
      <c r="D22" s="21">
        <f>VLOOKUP(B22,Sheet3!B:E,3,0)</f>
        <v>1524</v>
      </c>
      <c r="E22" s="21">
        <f>VLOOKUP(B22,Sheet3!B:E,4,0)</f>
        <v>607052</v>
      </c>
      <c r="F22" s="20"/>
    </row>
    <row r="23" spans="1:6" ht="23.1" customHeight="1" x14ac:dyDescent="0.25">
      <c r="A23" s="3">
        <v>69</v>
      </c>
      <c r="B23" s="20" t="str">
        <f>'Seating Plan'!H190</f>
        <v xml:space="preserve">BTCS24O1072 </v>
      </c>
      <c r="C23" s="20" t="str">
        <f>VLOOKUP(B23,Sheet3!B:E,2,0)</f>
        <v>KISHAN CHAUDHARY</v>
      </c>
      <c r="D23" s="21">
        <f>VLOOKUP(B23,Sheet3!B:E,3,0)</f>
        <v>1524</v>
      </c>
      <c r="E23" s="21">
        <f>VLOOKUP(B23,Sheet3!B:E,4,0)</f>
        <v>691645</v>
      </c>
      <c r="F23" s="4"/>
    </row>
    <row r="24" spans="1:6" ht="23.1" customHeight="1" x14ac:dyDescent="0.25">
      <c r="A24" s="3">
        <v>70</v>
      </c>
      <c r="B24" s="20" t="str">
        <f>'Seating Plan'!H191</f>
        <v xml:space="preserve">BTCS24O1073 </v>
      </c>
      <c r="C24" s="20" t="str">
        <f>VLOOKUP(B24,Sheet3!B:E,2,0)</f>
        <v>KSHITIJ KUMAR SONI</v>
      </c>
      <c r="D24" s="21">
        <f>VLOOKUP(B24,Sheet3!B:E,3,0)</f>
        <v>1524</v>
      </c>
      <c r="E24" s="21">
        <f>VLOOKUP(B24,Sheet3!B:E,4,0)</f>
        <v>645576</v>
      </c>
      <c r="F24" s="4"/>
    </row>
    <row r="25" spans="1:6" ht="23.1" customHeight="1" x14ac:dyDescent="0.25">
      <c r="A25" s="3">
        <v>71</v>
      </c>
      <c r="B25" s="20" t="str">
        <f>'Seating Plan'!H192</f>
        <v xml:space="preserve">BTCS24O1074 </v>
      </c>
      <c r="C25" s="20" t="str">
        <f>VLOOKUP(B25,Sheet3!B:E,2,0)</f>
        <v>KUNAL YADUVANSHI</v>
      </c>
      <c r="D25" s="21">
        <f>VLOOKUP(B25,Sheet3!B:E,3,0)</f>
        <v>1524</v>
      </c>
      <c r="E25" s="21">
        <f>VLOOKUP(B25,Sheet3!B:E,4,0)</f>
        <v>799843</v>
      </c>
      <c r="F25" s="4"/>
    </row>
    <row r="26" spans="1:6" ht="23.1" customHeight="1" x14ac:dyDescent="0.25">
      <c r="A26" s="3">
        <v>72</v>
      </c>
      <c r="B26" s="20" t="str">
        <f>'Seating Plan'!H193</f>
        <v xml:space="preserve">BTCS24O1075 </v>
      </c>
      <c r="C26" s="20" t="str">
        <f>VLOOKUP(B26,Sheet3!B:E,2,0)</f>
        <v>KHUSHI GUPTA</v>
      </c>
      <c r="D26" s="21">
        <f>VLOOKUP(B26,Sheet3!B:E,3,0)</f>
        <v>1524</v>
      </c>
      <c r="E26" s="21">
        <f>VLOOKUP(B26,Sheet3!B:E,4,0)</f>
        <v>387105</v>
      </c>
      <c r="F26" s="4"/>
    </row>
    <row r="27" spans="1:6" ht="23.1" customHeight="1" x14ac:dyDescent="0.25">
      <c r="A27" s="3">
        <v>73</v>
      </c>
      <c r="B27" s="20" t="str">
        <f>'Seating Plan'!H194</f>
        <v xml:space="preserve">BTCS24O1076 </v>
      </c>
      <c r="C27" s="20" t="str">
        <f>VLOOKUP(B27,Sheet3!B:E,2,0)</f>
        <v>LAVANYA BAJPAI</v>
      </c>
      <c r="D27" s="21">
        <f>VLOOKUP(B27,Sheet3!B:E,3,0)</f>
        <v>1524</v>
      </c>
      <c r="E27" s="21">
        <f>VLOOKUP(B27,Sheet3!B:E,4,0)</f>
        <v>736216</v>
      </c>
      <c r="F27" s="4"/>
    </row>
    <row r="28" spans="1:6" ht="23.1" customHeight="1" x14ac:dyDescent="0.25">
      <c r="A28" s="3">
        <v>74</v>
      </c>
      <c r="B28" s="20" t="str">
        <f>'Seating Plan'!H195</f>
        <v xml:space="preserve">BTCS24O1077 </v>
      </c>
      <c r="C28" s="20" t="str">
        <f>VLOOKUP(B28,Sheet3!B:E,2,0)</f>
        <v>MAHI GUPTA</v>
      </c>
      <c r="D28" s="21">
        <f>VLOOKUP(B28,Sheet3!B:E,3,0)</f>
        <v>1524</v>
      </c>
      <c r="E28" s="21">
        <f>VLOOKUP(B28,Sheet3!B:E,4,0)</f>
        <v>619289</v>
      </c>
      <c r="F28" s="4"/>
    </row>
    <row r="29" spans="1:6" ht="23.1" customHeight="1" x14ac:dyDescent="0.25">
      <c r="A29" s="3">
        <v>75</v>
      </c>
      <c r="B29" s="20" t="str">
        <f>'Seating Plan'!H196</f>
        <v xml:space="preserve">BTCS24O1078 </v>
      </c>
      <c r="C29" s="20" t="str">
        <f>VLOOKUP(B29,Sheet3!B:E,2,0)</f>
        <v>MITI DUBEY</v>
      </c>
      <c r="D29" s="21">
        <f>VLOOKUP(B29,Sheet3!B:E,3,0)</f>
        <v>1524</v>
      </c>
      <c r="E29" s="21">
        <f>VLOOKUP(B29,Sheet3!B:E,4,0)</f>
        <v>235414</v>
      </c>
      <c r="F29" s="4"/>
    </row>
    <row r="30" spans="1:6" ht="23.1" customHeight="1" x14ac:dyDescent="0.25">
      <c r="A30" s="3">
        <v>76</v>
      </c>
      <c r="B30" s="20" t="str">
        <f>'Seating Plan'!H197</f>
        <v xml:space="preserve">BTCS24O1079 </v>
      </c>
      <c r="C30" s="20" t="str">
        <f>VLOOKUP(B30,Sheet3!B:E,2,0)</f>
        <v>MOHIT RAJPUT</v>
      </c>
      <c r="D30" s="21">
        <f>VLOOKUP(B30,Sheet3!B:E,3,0)</f>
        <v>1524</v>
      </c>
      <c r="E30" s="21">
        <f>VLOOKUP(B30,Sheet3!B:E,4,0)</f>
        <v>307059</v>
      </c>
      <c r="F30" s="4"/>
    </row>
    <row r="31" spans="1:6" ht="23.1" customHeight="1" x14ac:dyDescent="0.25">
      <c r="A31" s="3">
        <v>77</v>
      </c>
      <c r="B31" s="20" t="str">
        <f>'Seating Plan'!H198</f>
        <v xml:space="preserve">BTCS24O1080 </v>
      </c>
      <c r="C31" s="20" t="str">
        <f>VLOOKUP(B31,Sheet3!B:E,2,0)</f>
        <v>MOHIT SHARMA</v>
      </c>
      <c r="D31" s="21">
        <f>VLOOKUP(B31,Sheet3!B:E,3,0)</f>
        <v>1524</v>
      </c>
      <c r="E31" s="21">
        <f>VLOOKUP(B31,Sheet3!B:E,4,0)</f>
        <v>714733</v>
      </c>
      <c r="F31" s="20"/>
    </row>
    <row r="32" spans="1:6" ht="23.1" customHeight="1" x14ac:dyDescent="0.25">
      <c r="A32" s="3">
        <v>78</v>
      </c>
      <c r="B32" s="20" t="str">
        <f>'Seating Plan'!H199</f>
        <v xml:space="preserve">BTCS24O1081 </v>
      </c>
      <c r="C32" s="20" t="str">
        <f>VLOOKUP(B32,Sheet3!B:E,2,0)</f>
        <v>MUSKAN SOLANKI</v>
      </c>
      <c r="D32" s="21">
        <f>VLOOKUP(B32,Sheet3!B:E,3,0)</f>
        <v>1524</v>
      </c>
      <c r="E32" s="21">
        <f>VLOOKUP(B32,Sheet3!B:E,4,0)</f>
        <v>492102</v>
      </c>
      <c r="F32" s="20"/>
    </row>
    <row r="33" spans="1:6" ht="23.1" customHeight="1" x14ac:dyDescent="0.25">
      <c r="A33" s="3">
        <v>79</v>
      </c>
      <c r="B33" s="20" t="str">
        <f>'Seating Plan'!H200</f>
        <v xml:space="preserve">BTCS24O1082 </v>
      </c>
      <c r="C33" s="20" t="str">
        <f>VLOOKUP(B33,Sheet3!B:E,2,0)</f>
        <v>NAKUL RATHOR</v>
      </c>
      <c r="D33" s="21">
        <f>VLOOKUP(B33,Sheet3!B:E,3,0)</f>
        <v>1524</v>
      </c>
      <c r="E33" s="21">
        <f>VLOOKUP(B33,Sheet3!B:E,4,0)</f>
        <v>782423</v>
      </c>
      <c r="F33" s="20"/>
    </row>
    <row r="34" spans="1:6" ht="23.1" customHeight="1" x14ac:dyDescent="0.25">
      <c r="A34" s="3">
        <v>80</v>
      </c>
      <c r="B34" s="20" t="str">
        <f>'Seating Plan'!H201</f>
        <v xml:space="preserve">BTCS24O1083 </v>
      </c>
      <c r="C34" s="20" t="str">
        <f>VLOOKUP(B34,Sheet3!B:E,2,0)</f>
        <v>NEMISH NAGARIA</v>
      </c>
      <c r="D34" s="21">
        <f>VLOOKUP(B34,Sheet3!B:E,3,0)</f>
        <v>1524</v>
      </c>
      <c r="E34" s="21">
        <f>VLOOKUP(B34,Sheet3!B:E,4,0)</f>
        <v>116171</v>
      </c>
      <c r="F34" s="20"/>
    </row>
    <row r="35" spans="1:6" ht="23.1" customHeight="1" x14ac:dyDescent="0.25">
      <c r="A35" s="3">
        <v>81</v>
      </c>
      <c r="B35" s="20" t="str">
        <f>'Seating Plan'!H202</f>
        <v xml:space="preserve">BTCS24O1084 </v>
      </c>
      <c r="C35" s="20" t="str">
        <f>VLOOKUP(B35,Sheet3!B:E,2,0)</f>
        <v>NIKHIL SHARMA</v>
      </c>
      <c r="D35" s="21">
        <f>VLOOKUP(B35,Sheet3!B:E,3,0)</f>
        <v>1524</v>
      </c>
      <c r="E35" s="21">
        <f>VLOOKUP(B35,Sheet3!B:E,4,0)</f>
        <v>501721</v>
      </c>
      <c r="F35" s="20"/>
    </row>
    <row r="36" spans="1:6" ht="23.1" customHeight="1" x14ac:dyDescent="0.25">
      <c r="A36" s="3">
        <v>82</v>
      </c>
      <c r="B36" s="20" t="str">
        <f>'Seating Plan'!H203</f>
        <v xml:space="preserve">BTCS24O1085 </v>
      </c>
      <c r="C36" s="20" t="str">
        <f>VLOOKUP(B36,Sheet3!B:E,2,0)</f>
        <v>NIKHIL YADAV</v>
      </c>
      <c r="D36" s="21">
        <f>VLOOKUP(B36,Sheet3!B:E,3,0)</f>
        <v>1524</v>
      </c>
      <c r="E36" s="21">
        <f>VLOOKUP(B36,Sheet3!B:E,4,0)</f>
        <v>972000</v>
      </c>
      <c r="F36" s="20"/>
    </row>
    <row r="37" spans="1:6" ht="24.95" customHeight="1" x14ac:dyDescent="0.25">
      <c r="A37" s="1"/>
      <c r="B37" s="1"/>
      <c r="C37" s="1"/>
      <c r="D37" s="1"/>
      <c r="E37" s="1"/>
      <c r="F37" s="1"/>
    </row>
    <row r="38" spans="1:6" ht="24.95" customHeight="1" x14ac:dyDescent="0.25">
      <c r="A38" s="1" t="s">
        <v>170</v>
      </c>
      <c r="B38" s="1"/>
      <c r="C38" s="1"/>
      <c r="D38" s="1"/>
      <c r="E38" s="1"/>
      <c r="F38" s="1"/>
    </row>
    <row r="39" spans="1:6" ht="24.95" customHeight="1" x14ac:dyDescent="0.25">
      <c r="A39" s="1" t="s">
        <v>171</v>
      </c>
      <c r="B39" s="1"/>
      <c r="C39" s="1"/>
      <c r="D39" s="1" t="s">
        <v>173</v>
      </c>
      <c r="E39" s="1"/>
      <c r="F39" s="1"/>
    </row>
    <row r="40" spans="1:6" ht="24.95" customHeight="1" x14ac:dyDescent="0.25">
      <c r="A40" s="1"/>
      <c r="B40" s="1"/>
      <c r="C40" s="1"/>
      <c r="D40" s="1"/>
      <c r="E40" s="1"/>
      <c r="F40" s="1"/>
    </row>
    <row r="41" spans="1:6" ht="24.95" customHeight="1" x14ac:dyDescent="0.25">
      <c r="A41" s="1"/>
      <c r="B41" s="1"/>
      <c r="C41" s="1"/>
      <c r="D41" s="1" t="s">
        <v>174</v>
      </c>
      <c r="E41" s="1"/>
      <c r="F41" s="1"/>
    </row>
    <row r="42" spans="1:6" ht="24.95" customHeight="1" x14ac:dyDescent="0.25">
      <c r="A42" s="1" t="s">
        <v>172</v>
      </c>
      <c r="B42" s="1"/>
      <c r="C42" s="1"/>
      <c r="D42" s="1"/>
      <c r="E42" s="1"/>
      <c r="F42" s="1"/>
    </row>
  </sheetData>
  <mergeCells count="6">
    <mergeCell ref="E7:F7"/>
    <mergeCell ref="A1:F1"/>
    <mergeCell ref="A2:F2"/>
    <mergeCell ref="A3:F3"/>
    <mergeCell ref="A4:F4"/>
    <mergeCell ref="A5:F5"/>
  </mergeCells>
  <phoneticPr fontId="10" type="noConversion"/>
  <pageMargins left="0.23622047244094491" right="0.23622047244094491" top="0.74803149606299213" bottom="0.74803149606299213" header="0.31496062992125984" footer="0.31496062992125984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BBC0-6460-4975-B7DD-B559F4304F32}">
  <dimension ref="A1:F34"/>
  <sheetViews>
    <sheetView topLeftCell="A21" zoomScaleNormal="100" workbookViewId="0">
      <selection activeCell="J5" sqref="J5"/>
    </sheetView>
  </sheetViews>
  <sheetFormatPr defaultColWidth="8.7109375" defaultRowHeight="15" x14ac:dyDescent="0.25"/>
  <cols>
    <col min="1" max="1" width="7.28515625" style="1" customWidth="1"/>
    <col min="2" max="2" width="17.28515625" style="1" customWidth="1"/>
    <col min="3" max="3" width="27.28515625" style="1" customWidth="1"/>
    <col min="4" max="4" width="15.85546875" style="1" customWidth="1"/>
    <col min="5" max="5" width="12.42578125" style="1" customWidth="1"/>
    <col min="6" max="6" width="24.140625" style="1" customWidth="1"/>
    <col min="7" max="7" width="8.7109375" style="1" customWidth="1"/>
    <col min="8" max="16384" width="8.7109375" style="1"/>
  </cols>
  <sheetData>
    <row r="1" spans="1:6" ht="39.950000000000003" customHeight="1" x14ac:dyDescent="0.3">
      <c r="A1" s="80" t="s">
        <v>168</v>
      </c>
      <c r="B1" s="81"/>
      <c r="C1" s="81"/>
      <c r="D1" s="81"/>
      <c r="E1" s="81"/>
      <c r="F1" s="81"/>
    </row>
    <row r="2" spans="1:6" ht="18.75" x14ac:dyDescent="0.3">
      <c r="A2" s="81" t="s">
        <v>169</v>
      </c>
      <c r="B2" s="81"/>
      <c r="C2" s="81"/>
      <c r="D2" s="81"/>
      <c r="E2" s="81"/>
      <c r="F2" s="81"/>
    </row>
    <row r="3" spans="1:6" x14ac:dyDescent="0.25">
      <c r="A3" s="82" t="s">
        <v>162</v>
      </c>
      <c r="B3" s="82"/>
      <c r="C3" s="82"/>
      <c r="D3" s="82"/>
      <c r="E3" s="82"/>
      <c r="F3" s="82"/>
    </row>
    <row r="4" spans="1:6" x14ac:dyDescent="0.25">
      <c r="A4" s="82" t="s">
        <v>16</v>
      </c>
      <c r="B4" s="82"/>
      <c r="C4" s="82"/>
      <c r="D4" s="82"/>
      <c r="E4" s="82"/>
      <c r="F4" s="82"/>
    </row>
    <row r="5" spans="1:6" x14ac:dyDescent="0.25">
      <c r="A5" s="82" t="s">
        <v>0</v>
      </c>
      <c r="B5" s="82"/>
      <c r="C5" s="82"/>
      <c r="D5" s="82"/>
      <c r="E5" s="82"/>
      <c r="F5" s="82"/>
    </row>
    <row r="6" spans="1:6" x14ac:dyDescent="0.25">
      <c r="A6" s="2" t="s">
        <v>165</v>
      </c>
      <c r="C6" s="18"/>
      <c r="E6" s="2"/>
      <c r="F6" s="7" t="str">
        <f>'Seating Plan'!D$3</f>
        <v>08.04.2026</v>
      </c>
    </row>
    <row r="7" spans="1:6" ht="21.95" customHeight="1" x14ac:dyDescent="0.25">
      <c r="A7" s="2" t="s">
        <v>499</v>
      </c>
      <c r="E7" s="84" t="str">
        <f>'Seating Plan'!G$4</f>
        <v>Shift:I (10:00 to 11:00 AM)</v>
      </c>
      <c r="F7" s="84"/>
    </row>
    <row r="8" spans="1:6" ht="24.95" customHeight="1" x14ac:dyDescent="0.25">
      <c r="A8" s="5" t="s">
        <v>1</v>
      </c>
      <c r="B8" s="5" t="s">
        <v>3</v>
      </c>
      <c r="C8" s="5" t="s">
        <v>2</v>
      </c>
      <c r="D8" s="5" t="s">
        <v>19</v>
      </c>
      <c r="E8" s="5" t="s">
        <v>4</v>
      </c>
      <c r="F8" s="5" t="s">
        <v>5</v>
      </c>
    </row>
    <row r="9" spans="1:6" ht="24.95" customHeight="1" x14ac:dyDescent="0.25">
      <c r="A9" s="28">
        <v>35</v>
      </c>
      <c r="B9" s="68" t="str">
        <f>'Seating Plan'!F205</f>
        <v xml:space="preserve">BTCS24O1037 </v>
      </c>
      <c r="C9" s="20" t="str">
        <f>VLOOKUP(B9,Sheet3!B:E,2,0)</f>
        <v>BHANUPRATAP GURJAR</v>
      </c>
      <c r="D9" s="20">
        <f>VLOOKUP(B9,Sheet3!B:E,3,0)</f>
        <v>1524</v>
      </c>
      <c r="E9" s="20">
        <f>VLOOKUP(B9,Sheet3!B:E,4,0)</f>
        <v>871062</v>
      </c>
      <c r="F9" s="4"/>
    </row>
    <row r="10" spans="1:6" ht="24.95" customHeight="1" x14ac:dyDescent="0.25">
      <c r="A10" s="28">
        <v>36</v>
      </c>
      <c r="B10" s="68" t="str">
        <f>'Seating Plan'!F206</f>
        <v xml:space="preserve">BTCS24O1038 </v>
      </c>
      <c r="C10" s="20" t="str">
        <f>VLOOKUP(B10,Sheet3!B:E,2,0)</f>
        <v>DEVANSH BHARGAV</v>
      </c>
      <c r="D10" s="20">
        <f>VLOOKUP(B10,Sheet3!B:E,3,0)</f>
        <v>1524</v>
      </c>
      <c r="E10" s="20">
        <f>VLOOKUP(B10,Sheet3!B:E,4,0)</f>
        <v>777755</v>
      </c>
      <c r="F10" s="4"/>
    </row>
    <row r="11" spans="1:6" ht="24.95" customHeight="1" x14ac:dyDescent="0.25">
      <c r="A11" s="28">
        <v>37</v>
      </c>
      <c r="B11" s="68" t="str">
        <f>'Seating Plan'!F207</f>
        <v xml:space="preserve">BTCS24O1039 </v>
      </c>
      <c r="C11" s="20" t="str">
        <f>VLOOKUP(B11,Sheet3!B:E,2,0)</f>
        <v>DHANANJAY SINGH TOMAR</v>
      </c>
      <c r="D11" s="20">
        <f>VLOOKUP(B11,Sheet3!B:E,3,0)</f>
        <v>1524</v>
      </c>
      <c r="E11" s="20">
        <f>VLOOKUP(B11,Sheet3!B:E,4,0)</f>
        <v>400665</v>
      </c>
      <c r="F11" s="4"/>
    </row>
    <row r="12" spans="1:6" ht="24.95" customHeight="1" x14ac:dyDescent="0.25">
      <c r="A12" s="28">
        <v>38</v>
      </c>
      <c r="B12" s="68" t="str">
        <f>'Seating Plan'!F208</f>
        <v xml:space="preserve">BTCS24O1040 </v>
      </c>
      <c r="C12" s="20" t="str">
        <f>VLOOKUP(B12,Sheet3!B:E,2,0)</f>
        <v>DHRUV KUMAR PATEL</v>
      </c>
      <c r="D12" s="20">
        <f>VLOOKUP(B12,Sheet3!B:E,3,0)</f>
        <v>1524</v>
      </c>
      <c r="E12" s="20">
        <f>VLOOKUP(B12,Sheet3!B:E,4,0)</f>
        <v>857343</v>
      </c>
      <c r="F12" s="4"/>
    </row>
    <row r="13" spans="1:6" ht="24.95" customHeight="1" x14ac:dyDescent="0.25">
      <c r="A13" s="28">
        <v>39</v>
      </c>
      <c r="B13" s="68" t="str">
        <f>'Seating Plan'!F209</f>
        <v xml:space="preserve">BTCS24O1042 </v>
      </c>
      <c r="C13" s="20" t="str">
        <f>VLOOKUP(B13,Sheet3!B:E,2,0)</f>
        <v>DIPESH KUMAR</v>
      </c>
      <c r="D13" s="20">
        <f>VLOOKUP(B13,Sheet3!B:E,3,0)</f>
        <v>1524</v>
      </c>
      <c r="E13" s="20">
        <f>VLOOKUP(B13,Sheet3!B:E,4,0)</f>
        <v>904048</v>
      </c>
      <c r="F13" s="4"/>
    </row>
    <row r="14" spans="1:6" ht="24.95" customHeight="1" x14ac:dyDescent="0.25">
      <c r="A14" s="28">
        <v>40</v>
      </c>
      <c r="B14" s="68" t="str">
        <f>'Seating Plan'!F210</f>
        <v xml:space="preserve">BTCS24O1043 </v>
      </c>
      <c r="C14" s="20" t="str">
        <f>VLOOKUP(B14,Sheet3!B:E,2,0)</f>
        <v>DIVYANSH GUPTA</v>
      </c>
      <c r="D14" s="20">
        <f>VLOOKUP(B14,Sheet3!B:E,3,0)</f>
        <v>1524</v>
      </c>
      <c r="E14" s="20">
        <f>VLOOKUP(B14,Sheet3!B:E,4,0)</f>
        <v>975640</v>
      </c>
      <c r="F14" s="4"/>
    </row>
    <row r="15" spans="1:6" ht="24.95" customHeight="1" x14ac:dyDescent="0.25">
      <c r="A15" s="28">
        <v>41</v>
      </c>
      <c r="B15" s="68" t="str">
        <f>'Seating Plan'!F211</f>
        <v xml:space="preserve">BTCS24O1044 </v>
      </c>
      <c r="C15" s="20" t="str">
        <f>VLOOKUP(B15,Sheet3!B:E,2,0)</f>
        <v>DIVYANSH SHEKHAR THAKUR</v>
      </c>
      <c r="D15" s="20">
        <f>VLOOKUP(B15,Sheet3!B:E,3,0)</f>
        <v>1524</v>
      </c>
      <c r="E15" s="20">
        <f>VLOOKUP(B15,Sheet3!B:E,4,0)</f>
        <v>997032</v>
      </c>
      <c r="F15" s="4"/>
    </row>
    <row r="16" spans="1:6" ht="24.95" customHeight="1" x14ac:dyDescent="0.25">
      <c r="A16" s="28">
        <v>42</v>
      </c>
      <c r="B16" s="68" t="str">
        <f>'Seating Plan'!F212</f>
        <v xml:space="preserve">BTCS24O1045 </v>
      </c>
      <c r="C16" s="20" t="str">
        <f>VLOOKUP(B16,Sheet3!B:E,2,0)</f>
        <v>DIVYANSHU DAPAKARA</v>
      </c>
      <c r="D16" s="20">
        <f>VLOOKUP(B16,Sheet3!B:E,3,0)</f>
        <v>1524</v>
      </c>
      <c r="E16" s="20">
        <f>VLOOKUP(B16,Sheet3!B:E,4,0)</f>
        <v>871049</v>
      </c>
      <c r="F16" s="4"/>
    </row>
    <row r="17" spans="1:6" ht="24.95" customHeight="1" x14ac:dyDescent="0.25">
      <c r="A17" s="28">
        <v>43</v>
      </c>
      <c r="B17" s="68" t="str">
        <f>'Seating Plan'!F213</f>
        <v xml:space="preserve">BTCS24O1046 </v>
      </c>
      <c r="C17" s="20" t="str">
        <f>VLOOKUP(B17,Sheet3!B:E,2,0)</f>
        <v>DOLLY REWASIYA</v>
      </c>
      <c r="D17" s="20">
        <f>VLOOKUP(B17,Sheet3!B:E,3,0)</f>
        <v>1524</v>
      </c>
      <c r="E17" s="20">
        <f>VLOOKUP(B17,Sheet3!B:E,4,0)</f>
        <v>315099</v>
      </c>
      <c r="F17" s="4"/>
    </row>
    <row r="18" spans="1:6" ht="24.95" customHeight="1" x14ac:dyDescent="0.25">
      <c r="A18" s="28">
        <v>44</v>
      </c>
      <c r="B18" s="68" t="str">
        <f>'Seating Plan'!F214</f>
        <v xml:space="preserve">BTCS24O1047 </v>
      </c>
      <c r="C18" s="20" t="str">
        <f>VLOOKUP(B18,Sheet3!B:E,2,0)</f>
        <v>EKAGRA GANGIL</v>
      </c>
      <c r="D18" s="20">
        <f>VLOOKUP(B18,Sheet3!B:E,3,0)</f>
        <v>1524</v>
      </c>
      <c r="E18" s="20">
        <f>VLOOKUP(B18,Sheet3!B:E,4,0)</f>
        <v>974986</v>
      </c>
      <c r="F18" s="4"/>
    </row>
    <row r="19" spans="1:6" ht="23.1" customHeight="1" x14ac:dyDescent="0.25">
      <c r="A19" s="28">
        <v>45</v>
      </c>
      <c r="B19" s="68" t="str">
        <f>'Seating Plan'!H205</f>
        <v xml:space="preserve">BTCS24O1048 </v>
      </c>
      <c r="C19" s="20" t="str">
        <f>VLOOKUP(B19,Sheet3!B:E,2,0)</f>
        <v>FARAZ KHALID</v>
      </c>
      <c r="D19" s="20">
        <f>VLOOKUP(B19,Sheet3!B:E,3,0)</f>
        <v>1524</v>
      </c>
      <c r="E19" s="20">
        <f>VLOOKUP(B19,Sheet3!B:E,4,0)</f>
        <v>597297</v>
      </c>
      <c r="F19" s="4"/>
    </row>
    <row r="20" spans="1:6" ht="23.1" customHeight="1" x14ac:dyDescent="0.25">
      <c r="A20" s="28">
        <v>46</v>
      </c>
      <c r="B20" s="68" t="str">
        <f>'Seating Plan'!H206</f>
        <v xml:space="preserve">BTCS24O1049 </v>
      </c>
      <c r="C20" s="20" t="str">
        <f>VLOOKUP(B20,Sheet3!B:E,2,0)</f>
        <v>GOURAV CHOUDHARY</v>
      </c>
      <c r="D20" s="20">
        <f>VLOOKUP(B20,Sheet3!B:E,3,0)</f>
        <v>1524</v>
      </c>
      <c r="E20" s="20">
        <f>VLOOKUP(B20,Sheet3!B:E,4,0)</f>
        <v>391386</v>
      </c>
      <c r="F20" s="4"/>
    </row>
    <row r="21" spans="1:6" ht="23.1" customHeight="1" x14ac:dyDescent="0.25">
      <c r="A21" s="28">
        <v>47</v>
      </c>
      <c r="B21" s="68" t="str">
        <f>'Seating Plan'!H207</f>
        <v xml:space="preserve">BTCS24O1050 </v>
      </c>
      <c r="C21" s="20" t="str">
        <f>VLOOKUP(B21,Sheet3!B:E,2,0)</f>
        <v>HARIOM GOURH</v>
      </c>
      <c r="D21" s="20">
        <f>VLOOKUP(B21,Sheet3!B:E,3,0)</f>
        <v>1524</v>
      </c>
      <c r="E21" s="20">
        <f>VLOOKUP(B21,Sheet3!B:E,4,0)</f>
        <v>943473</v>
      </c>
      <c r="F21" s="4"/>
    </row>
    <row r="22" spans="1:6" ht="23.1" customHeight="1" x14ac:dyDescent="0.25">
      <c r="A22" s="28">
        <v>48</v>
      </c>
      <c r="B22" s="68" t="str">
        <f>'Seating Plan'!H208</f>
        <v xml:space="preserve">BTCS24O1051 </v>
      </c>
      <c r="C22" s="20" t="str">
        <f>VLOOKUP(B22,Sheet3!B:E,2,0)</f>
        <v>HARIOM RATHOR</v>
      </c>
      <c r="D22" s="20">
        <f>VLOOKUP(B22,Sheet3!B:E,3,0)</f>
        <v>1524</v>
      </c>
      <c r="E22" s="20">
        <f>VLOOKUP(B22,Sheet3!B:E,4,0)</f>
        <v>997889</v>
      </c>
      <c r="F22" s="4"/>
    </row>
    <row r="23" spans="1:6" ht="23.1" customHeight="1" x14ac:dyDescent="0.25">
      <c r="A23" s="28">
        <v>49</v>
      </c>
      <c r="B23" s="68" t="str">
        <f>'Seating Plan'!H209</f>
        <v xml:space="preserve">BTCS24O1052 </v>
      </c>
      <c r="C23" s="20" t="str">
        <f>VLOOKUP(B23,Sheet3!B:E,2,0)</f>
        <v>HARSH KUMAR DAS</v>
      </c>
      <c r="D23" s="20">
        <f>VLOOKUP(B23,Sheet3!B:E,3,0)</f>
        <v>1524</v>
      </c>
      <c r="E23" s="20">
        <f>VLOOKUP(B23,Sheet3!B:E,4,0)</f>
        <v>206673</v>
      </c>
      <c r="F23" s="4"/>
    </row>
    <row r="24" spans="1:6" ht="23.1" customHeight="1" x14ac:dyDescent="0.25">
      <c r="A24" s="28">
        <v>50</v>
      </c>
      <c r="B24" s="68" t="str">
        <f>'Seating Plan'!H210</f>
        <v xml:space="preserve">BTCS24O1053 </v>
      </c>
      <c r="C24" s="20" t="str">
        <f>VLOOKUP(B24,Sheet3!B:E,2,0)</f>
        <v>HARSH YADAV</v>
      </c>
      <c r="D24" s="20">
        <f>VLOOKUP(B24,Sheet3!B:E,3,0)</f>
        <v>1524</v>
      </c>
      <c r="E24" s="20">
        <f>VLOOKUP(B24,Sheet3!B:E,4,0)</f>
        <v>453785</v>
      </c>
      <c r="F24" s="4"/>
    </row>
    <row r="25" spans="1:6" ht="23.1" customHeight="1" x14ac:dyDescent="0.25">
      <c r="A25" s="28">
        <v>51</v>
      </c>
      <c r="B25" s="68" t="str">
        <f>'Seating Plan'!H211</f>
        <v xml:space="preserve">BTCS24O1054 </v>
      </c>
      <c r="C25" s="20" t="str">
        <f>VLOOKUP(B25,Sheet3!B:E,2,0)</f>
        <v>HARSHIT MALVIYA</v>
      </c>
      <c r="D25" s="20">
        <f>VLOOKUP(B25,Sheet3!B:E,3,0)</f>
        <v>1524</v>
      </c>
      <c r="E25" s="20">
        <f>VLOOKUP(B25,Sheet3!B:E,4,0)</f>
        <v>823763</v>
      </c>
      <c r="F25" s="4"/>
    </row>
    <row r="26" spans="1:6" ht="23.1" customHeight="1" x14ac:dyDescent="0.25">
      <c r="A26" s="28">
        <v>52</v>
      </c>
      <c r="B26" s="68" t="str">
        <f>'Seating Plan'!H212</f>
        <v xml:space="preserve">BTCS24O1055 </v>
      </c>
      <c r="C26" s="20" t="str">
        <f>VLOOKUP(B26,Sheet3!B:E,2,0)</f>
        <v>HARSHIT SINGH</v>
      </c>
      <c r="D26" s="20">
        <f>VLOOKUP(B26,Sheet3!B:E,3,0)</f>
        <v>1524</v>
      </c>
      <c r="E26" s="20">
        <f>VLOOKUP(B26,Sheet3!B:E,4,0)</f>
        <v>610652</v>
      </c>
      <c r="F26" s="4"/>
    </row>
    <row r="27" spans="1:6" ht="23.1" customHeight="1" x14ac:dyDescent="0.25">
      <c r="A27" s="28">
        <v>53</v>
      </c>
      <c r="B27" s="68" t="str">
        <f>'Seating Plan'!H213</f>
        <v xml:space="preserve">BTCS24O1056 </v>
      </c>
      <c r="C27" s="20" t="str">
        <f>VLOOKUP(B27,Sheet3!B:E,2,0)</f>
        <v>HARSHIT TIWARI</v>
      </c>
      <c r="D27" s="20">
        <f>VLOOKUP(B27,Sheet3!B:E,3,0)</f>
        <v>1524</v>
      </c>
      <c r="E27" s="20">
        <f>VLOOKUP(B27,Sheet3!B:E,4,0)</f>
        <v>601333</v>
      </c>
      <c r="F27" s="4"/>
    </row>
    <row r="28" spans="1:6" ht="23.1" customHeight="1" x14ac:dyDescent="0.25">
      <c r="A28" s="28">
        <v>54</v>
      </c>
      <c r="B28" s="77" t="str">
        <f>'Seating Plan'!H214</f>
        <v xml:space="preserve">BTCS24O1057 </v>
      </c>
      <c r="C28" s="20" t="str">
        <f>VLOOKUP(B28,Sheet3!B:E,2,0)</f>
        <v>HARSHITA</v>
      </c>
      <c r="D28" s="20">
        <f>VLOOKUP(B28,Sheet3!B:E,3,0)</f>
        <v>1524</v>
      </c>
      <c r="E28" s="20">
        <f>VLOOKUP(B28,Sheet3!B:E,4,0)</f>
        <v>998321</v>
      </c>
      <c r="F28" s="4"/>
    </row>
    <row r="29" spans="1:6" ht="23.1" hidden="1" customHeight="1" x14ac:dyDescent="0.25">
      <c r="A29" s="3">
        <v>2</v>
      </c>
      <c r="B29" s="79">
        <f>'Seating Plan'!H215</f>
        <v>0</v>
      </c>
      <c r="C29" s="20" t="e">
        <f>VLOOKUP(B29,Sheet3!B:E,2,0)</f>
        <v>#N/A</v>
      </c>
      <c r="D29" s="20" t="e">
        <f>VLOOKUP(B29,Sheet3!B:E,3,0)</f>
        <v>#N/A</v>
      </c>
      <c r="E29" s="20" t="e">
        <f>VLOOKUP(B29,Sheet3!B:E,4,0)</f>
        <v>#N/A</v>
      </c>
      <c r="F29" s="4"/>
    </row>
    <row r="30" spans="1:6" customFormat="1" ht="24.95" customHeight="1" x14ac:dyDescent="0.25">
      <c r="A30" s="1" t="s">
        <v>170</v>
      </c>
      <c r="B30" s="1"/>
      <c r="C30" s="1"/>
      <c r="D30" s="1"/>
      <c r="E30" s="1"/>
      <c r="F30" s="1"/>
    </row>
    <row r="31" spans="1:6" customFormat="1" ht="24.95" customHeight="1" x14ac:dyDescent="0.25">
      <c r="A31" s="1" t="s">
        <v>171</v>
      </c>
      <c r="B31" s="1"/>
      <c r="C31" s="1"/>
      <c r="D31" s="1" t="s">
        <v>173</v>
      </c>
      <c r="E31" s="1"/>
      <c r="F31" s="1"/>
    </row>
    <row r="32" spans="1:6" customFormat="1" ht="24.95" customHeight="1" x14ac:dyDescent="0.25">
      <c r="A32" s="1"/>
      <c r="B32" s="1"/>
      <c r="C32" s="1"/>
      <c r="D32" s="1"/>
      <c r="E32" s="1"/>
      <c r="F32" s="1"/>
    </row>
    <row r="33" spans="1:6" customFormat="1" ht="24.95" customHeight="1" x14ac:dyDescent="0.25">
      <c r="A33" s="1"/>
      <c r="B33" s="1"/>
      <c r="C33" s="1"/>
      <c r="D33" s="1" t="s">
        <v>174</v>
      </c>
      <c r="E33" s="1"/>
      <c r="F33" s="1"/>
    </row>
    <row r="34" spans="1:6" customFormat="1" ht="24.95" customHeight="1" x14ac:dyDescent="0.25">
      <c r="A34" s="1" t="s">
        <v>172</v>
      </c>
      <c r="B34" s="1"/>
      <c r="C34" s="1"/>
      <c r="D34" s="1"/>
      <c r="E34" s="1"/>
      <c r="F34" s="1"/>
    </row>
  </sheetData>
  <mergeCells count="6">
    <mergeCell ref="E7:F7"/>
    <mergeCell ref="A1:F1"/>
    <mergeCell ref="A2:F2"/>
    <mergeCell ref="A3:F3"/>
    <mergeCell ref="A4:F4"/>
    <mergeCell ref="A5:F5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9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BB9B3-30D7-4087-AB74-F7C31E2EEBF8}">
  <dimension ref="A1:F35"/>
  <sheetViews>
    <sheetView topLeftCell="A2" zoomScaleNormal="100" workbookViewId="0">
      <selection activeCell="H10" sqref="H10"/>
    </sheetView>
  </sheetViews>
  <sheetFormatPr defaultColWidth="8.7109375" defaultRowHeight="15" x14ac:dyDescent="0.25"/>
  <cols>
    <col min="1" max="1" width="8.140625" style="1" customWidth="1"/>
    <col min="2" max="2" width="17.7109375" style="1" customWidth="1"/>
    <col min="3" max="3" width="24.5703125" style="1" customWidth="1"/>
    <col min="4" max="5" width="12.42578125" style="1" customWidth="1"/>
    <col min="6" max="6" width="24.5703125" style="1" customWidth="1"/>
    <col min="7" max="16384" width="8.7109375" style="1"/>
  </cols>
  <sheetData>
    <row r="1" spans="1:6" ht="39.950000000000003" customHeight="1" x14ac:dyDescent="0.3">
      <c r="A1" s="80" t="s">
        <v>168</v>
      </c>
      <c r="B1" s="81"/>
      <c r="C1" s="81"/>
      <c r="D1" s="81"/>
      <c r="E1" s="81"/>
      <c r="F1" s="81"/>
    </row>
    <row r="2" spans="1:6" ht="18.75" x14ac:dyDescent="0.3">
      <c r="A2" s="81" t="s">
        <v>169</v>
      </c>
      <c r="B2" s="81"/>
      <c r="C2" s="81"/>
      <c r="D2" s="81"/>
      <c r="E2" s="81"/>
      <c r="F2" s="81"/>
    </row>
    <row r="3" spans="1:6" x14ac:dyDescent="0.25">
      <c r="A3" s="82" t="s">
        <v>162</v>
      </c>
      <c r="B3" s="82"/>
      <c r="C3" s="82"/>
      <c r="D3" s="82"/>
      <c r="E3" s="82"/>
      <c r="F3" s="82"/>
    </row>
    <row r="4" spans="1:6" x14ac:dyDescent="0.25">
      <c r="A4" s="83" t="s">
        <v>166</v>
      </c>
      <c r="B4" s="82"/>
      <c r="C4" s="82"/>
      <c r="D4" s="82"/>
      <c r="E4" s="82"/>
      <c r="F4" s="82"/>
    </row>
    <row r="5" spans="1:6" x14ac:dyDescent="0.25">
      <c r="A5" s="82" t="s">
        <v>0</v>
      </c>
      <c r="B5" s="82"/>
      <c r="C5" s="82"/>
      <c r="D5" s="82"/>
      <c r="E5" s="82"/>
      <c r="F5" s="82"/>
    </row>
    <row r="6" spans="1:6" ht="22.5" customHeight="1" x14ac:dyDescent="0.25">
      <c r="A6" s="2" t="s">
        <v>165</v>
      </c>
      <c r="C6" s="18"/>
      <c r="F6" s="7" t="str">
        <f>'Seating Plan'!D$3</f>
        <v>08.04.2026</v>
      </c>
    </row>
    <row r="7" spans="1:6" ht="21.95" customHeight="1" x14ac:dyDescent="0.25">
      <c r="A7" s="2" t="s">
        <v>499</v>
      </c>
      <c r="E7" s="84" t="str">
        <f>'Seating Plan'!G$4</f>
        <v>Shift:I (10:00 to 11:00 AM)</v>
      </c>
      <c r="F7" s="84"/>
    </row>
    <row r="8" spans="1:6" ht="23.1" customHeight="1" x14ac:dyDescent="0.25">
      <c r="A8" s="5" t="s">
        <v>1</v>
      </c>
      <c r="B8" s="5" t="s">
        <v>3</v>
      </c>
      <c r="C8" s="5" t="s">
        <v>2</v>
      </c>
      <c r="D8" s="5" t="s">
        <v>19</v>
      </c>
      <c r="E8" s="5" t="s">
        <v>4</v>
      </c>
      <c r="F8" s="5" t="s">
        <v>5</v>
      </c>
    </row>
    <row r="9" spans="1:6" ht="23.1" customHeight="1" x14ac:dyDescent="0.25">
      <c r="A9" s="3">
        <v>15</v>
      </c>
      <c r="B9" s="68" t="str">
        <f>'Seating Plan'!F291</f>
        <v xml:space="preserve">BTCS24O1017 </v>
      </c>
      <c r="C9" s="20" t="str">
        <f>VLOOKUP(B9,Sheet3!B:E,2,0)</f>
        <v>ALAKH GUPTA</v>
      </c>
      <c r="D9" s="21">
        <f>VLOOKUP(B9,Sheet3!B:E,3,0)</f>
        <v>1524</v>
      </c>
      <c r="E9" s="21">
        <f>VLOOKUP(B9,Sheet3!B:E,4,0)</f>
        <v>239080</v>
      </c>
      <c r="F9" s="4"/>
    </row>
    <row r="10" spans="1:6" ht="23.1" customHeight="1" x14ac:dyDescent="0.25">
      <c r="A10" s="3">
        <v>16</v>
      </c>
      <c r="B10" s="68" t="str">
        <f>'Seating Plan'!F292</f>
        <v xml:space="preserve">BTCS24O1018 </v>
      </c>
      <c r="C10" s="20" t="str">
        <f>VLOOKUP(B10,Sheet3!B:E,2,0)</f>
        <v>ALOK KUMAR KUSHWAH</v>
      </c>
      <c r="D10" s="21">
        <f>VLOOKUP(B10,Sheet3!B:E,3,0)</f>
        <v>1524</v>
      </c>
      <c r="E10" s="21">
        <f>VLOOKUP(B10,Sheet3!B:E,4,0)</f>
        <v>926861</v>
      </c>
      <c r="F10" s="4"/>
    </row>
    <row r="11" spans="1:6" ht="23.1" customHeight="1" x14ac:dyDescent="0.25">
      <c r="A11" s="3">
        <v>17</v>
      </c>
      <c r="B11" s="68" t="str">
        <f>'Seating Plan'!F293</f>
        <v xml:space="preserve">BTCS24O1019 </v>
      </c>
      <c r="C11" s="20" t="str">
        <f>VLOOKUP(B11,Sheet3!B:E,2,0)</f>
        <v>AMAN</v>
      </c>
      <c r="D11" s="21">
        <f>VLOOKUP(B11,Sheet3!B:E,3,0)</f>
        <v>1524</v>
      </c>
      <c r="E11" s="21">
        <f>VLOOKUP(B11,Sheet3!B:E,4,0)</f>
        <v>975200</v>
      </c>
      <c r="F11" s="4"/>
    </row>
    <row r="12" spans="1:6" ht="23.1" customHeight="1" x14ac:dyDescent="0.25">
      <c r="A12" s="3">
        <v>18</v>
      </c>
      <c r="B12" s="68" t="str">
        <f>'Seating Plan'!F294</f>
        <v xml:space="preserve">BTCS24O1020 </v>
      </c>
      <c r="C12" s="20" t="str">
        <f>VLOOKUP(B12,Sheet3!B:E,2,0)</f>
        <v>AMAN PANDEY</v>
      </c>
      <c r="D12" s="21">
        <f>VLOOKUP(B12,Sheet3!B:E,3,0)</f>
        <v>1524</v>
      </c>
      <c r="E12" s="21">
        <f>VLOOKUP(B12,Sheet3!B:E,4,0)</f>
        <v>738697</v>
      </c>
      <c r="F12" s="4"/>
    </row>
    <row r="13" spans="1:6" ht="23.1" customHeight="1" x14ac:dyDescent="0.25">
      <c r="A13" s="3">
        <v>19</v>
      </c>
      <c r="B13" s="68" t="str">
        <f>'Seating Plan'!F295</f>
        <v xml:space="preserve">BTCS24O1021 </v>
      </c>
      <c r="C13" s="20" t="str">
        <f>VLOOKUP(B13,Sheet3!B:E,2,0)</f>
        <v>AMAN SINGH</v>
      </c>
      <c r="D13" s="21">
        <f>VLOOKUP(B13,Sheet3!B:E,3,0)</f>
        <v>1524</v>
      </c>
      <c r="E13" s="21">
        <f>VLOOKUP(B13,Sheet3!B:E,4,0)</f>
        <v>438068</v>
      </c>
      <c r="F13" s="4"/>
    </row>
    <row r="14" spans="1:6" ht="23.1" customHeight="1" x14ac:dyDescent="0.25">
      <c r="A14" s="3">
        <v>20</v>
      </c>
      <c r="B14" s="68" t="str">
        <f>'Seating Plan'!F296</f>
        <v xml:space="preserve">BTCS24O1022 </v>
      </c>
      <c r="C14" s="20" t="str">
        <f>VLOOKUP(B14,Sheet3!B:E,2,0)</f>
        <v>AMIT MANMODE</v>
      </c>
      <c r="D14" s="21">
        <f>VLOOKUP(B14,Sheet3!B:E,3,0)</f>
        <v>1524</v>
      </c>
      <c r="E14" s="21">
        <f>VLOOKUP(B14,Sheet3!B:E,4,0)</f>
        <v>989743</v>
      </c>
      <c r="F14" s="4"/>
    </row>
    <row r="15" spans="1:6" ht="23.1" customHeight="1" x14ac:dyDescent="0.25">
      <c r="A15" s="3">
        <v>21</v>
      </c>
      <c r="B15" s="68" t="str">
        <f>'Seating Plan'!F297</f>
        <v xml:space="preserve">BTCS24O1023 </v>
      </c>
      <c r="C15" s="20" t="str">
        <f>VLOOKUP(B15,Sheet3!B:E,2,0)</f>
        <v>ANAS KHAN GAURI</v>
      </c>
      <c r="D15" s="21">
        <f>VLOOKUP(B15,Sheet3!B:E,3,0)</f>
        <v>1524</v>
      </c>
      <c r="E15" s="21">
        <f>VLOOKUP(B15,Sheet3!B:E,4,0)</f>
        <v>775763</v>
      </c>
      <c r="F15" s="4"/>
    </row>
    <row r="16" spans="1:6" ht="23.1" customHeight="1" x14ac:dyDescent="0.25">
      <c r="A16" s="3">
        <v>22</v>
      </c>
      <c r="B16" s="68" t="str">
        <f>'Seating Plan'!F298</f>
        <v xml:space="preserve">BTCS24O1024 </v>
      </c>
      <c r="C16" s="20" t="str">
        <f>VLOOKUP(B16,Sheet3!B:E,2,0)</f>
        <v>ANIKET BHARTI</v>
      </c>
      <c r="D16" s="21">
        <f>VLOOKUP(B16,Sheet3!B:E,3,0)</f>
        <v>1524</v>
      </c>
      <c r="E16" s="21">
        <f>VLOOKUP(B16,Sheet3!B:E,4,0)</f>
        <v>497485</v>
      </c>
      <c r="F16" s="4"/>
    </row>
    <row r="17" spans="1:6" ht="23.1" customHeight="1" x14ac:dyDescent="0.25">
      <c r="A17" s="3">
        <v>23</v>
      </c>
      <c r="B17" s="68" t="str">
        <f>'Seating Plan'!F299</f>
        <v xml:space="preserve">BTCS24O1025 </v>
      </c>
      <c r="C17" s="20" t="str">
        <f>VLOOKUP(B17,Sheet3!B:E,2,0)</f>
        <v>ANKIT KARORIYA</v>
      </c>
      <c r="D17" s="21">
        <f>VLOOKUP(B17,Sheet3!B:E,3,0)</f>
        <v>1524</v>
      </c>
      <c r="E17" s="21">
        <f>VLOOKUP(B17,Sheet3!B:E,4,0)</f>
        <v>783768</v>
      </c>
      <c r="F17" s="4"/>
    </row>
    <row r="18" spans="1:6" ht="23.1" customHeight="1" x14ac:dyDescent="0.25">
      <c r="A18" s="3">
        <v>24</v>
      </c>
      <c r="B18" s="68" t="str">
        <f>'Seating Plan'!F300</f>
        <v xml:space="preserve">BTCS24O1026 </v>
      </c>
      <c r="C18" s="20" t="str">
        <f>VLOOKUP(B18,Sheet3!B:E,2,0)</f>
        <v>ANKUSH KANERIYA</v>
      </c>
      <c r="D18" s="21">
        <f>VLOOKUP(B18,Sheet3!B:E,3,0)</f>
        <v>1524</v>
      </c>
      <c r="E18" s="21">
        <f>VLOOKUP(B18,Sheet3!B:E,4,0)</f>
        <v>897428</v>
      </c>
      <c r="F18" s="4"/>
    </row>
    <row r="19" spans="1:6" ht="23.1" customHeight="1" x14ac:dyDescent="0.25">
      <c r="A19" s="3">
        <v>25</v>
      </c>
      <c r="B19" s="68" t="str">
        <f>'Seating Plan'!H291</f>
        <v xml:space="preserve">BTCS24O1027 </v>
      </c>
      <c r="C19" s="20" t="str">
        <f>VLOOKUP(B19,Sheet3!B:E,2,0)</f>
        <v>ANNIKA SUBHASH</v>
      </c>
      <c r="D19" s="21">
        <f>VLOOKUP(B19,Sheet3!B:E,3,0)</f>
        <v>1524</v>
      </c>
      <c r="E19" s="21">
        <f>VLOOKUP(B19,Sheet3!B:E,4,0)</f>
        <v>834165</v>
      </c>
      <c r="F19" s="4"/>
    </row>
    <row r="20" spans="1:6" ht="23.1" customHeight="1" x14ac:dyDescent="0.25">
      <c r="A20" s="3">
        <v>26</v>
      </c>
      <c r="B20" s="68" t="str">
        <f>'Seating Plan'!H292</f>
        <v xml:space="preserve">BTCS24O1028 </v>
      </c>
      <c r="C20" s="20" t="str">
        <f>VLOOKUP(B20,Sheet3!B:E,2,0)</f>
        <v>ANUSHKA SINGHAL</v>
      </c>
      <c r="D20" s="21">
        <f>VLOOKUP(B20,Sheet3!B:E,3,0)</f>
        <v>1524</v>
      </c>
      <c r="E20" s="21">
        <f>VLOOKUP(B20,Sheet3!B:E,4,0)</f>
        <v>808855</v>
      </c>
      <c r="F20" s="4"/>
    </row>
    <row r="21" spans="1:6" ht="23.1" customHeight="1" x14ac:dyDescent="0.25">
      <c r="A21" s="3">
        <v>27</v>
      </c>
      <c r="B21" s="68" t="str">
        <f>'Seating Plan'!H293</f>
        <v xml:space="preserve">BTCS24O1029 </v>
      </c>
      <c r="C21" s="20" t="str">
        <f>VLOOKUP(B21,Sheet3!B:E,2,0)</f>
        <v>ARYAN PARIHAR</v>
      </c>
      <c r="D21" s="21">
        <f>VLOOKUP(B21,Sheet3!B:E,3,0)</f>
        <v>1524</v>
      </c>
      <c r="E21" s="21">
        <f>VLOOKUP(B21,Sheet3!B:E,4,0)</f>
        <v>691356</v>
      </c>
      <c r="F21" s="4"/>
    </row>
    <row r="22" spans="1:6" ht="23.1" customHeight="1" x14ac:dyDescent="0.25">
      <c r="A22" s="3">
        <v>28</v>
      </c>
      <c r="B22" s="68" t="str">
        <f>'Seating Plan'!H294</f>
        <v xml:space="preserve">BTCS24O1030 </v>
      </c>
      <c r="C22" s="20" t="str">
        <f>VLOOKUP(B22,Sheet3!B:E,2,0)</f>
        <v>ASHU</v>
      </c>
      <c r="D22" s="21">
        <f>VLOOKUP(B22,Sheet3!B:E,3,0)</f>
        <v>1524</v>
      </c>
      <c r="E22" s="21">
        <f>VLOOKUP(B22,Sheet3!B:E,4,0)</f>
        <v>618799</v>
      </c>
      <c r="F22" s="4"/>
    </row>
    <row r="23" spans="1:6" ht="23.1" customHeight="1" x14ac:dyDescent="0.25">
      <c r="A23" s="3">
        <v>29</v>
      </c>
      <c r="B23" s="68" t="str">
        <f>'Seating Plan'!H295</f>
        <v xml:space="preserve">BTCS24O1031 </v>
      </c>
      <c r="C23" s="20" t="str">
        <f>VLOOKUP(B23,Sheet3!B:E,2,0)</f>
        <v>ASTHA SAINI</v>
      </c>
      <c r="D23" s="21">
        <f>VLOOKUP(B23,Sheet3!B:E,3,0)</f>
        <v>1524</v>
      </c>
      <c r="E23" s="21">
        <f>VLOOKUP(B23,Sheet3!B:E,4,0)</f>
        <v>445958</v>
      </c>
      <c r="F23" s="4"/>
    </row>
    <row r="24" spans="1:6" ht="23.1" customHeight="1" x14ac:dyDescent="0.25">
      <c r="A24" s="3">
        <v>30</v>
      </c>
      <c r="B24" s="68" t="str">
        <f>'Seating Plan'!H296</f>
        <v xml:space="preserve">BTCS24O1032 </v>
      </c>
      <c r="C24" s="20" t="str">
        <f>VLOOKUP(B24,Sheet3!B:E,2,0)</f>
        <v>ATHARV SHRIVASTAVA</v>
      </c>
      <c r="D24" s="21">
        <f>VLOOKUP(B24,Sheet3!B:E,3,0)</f>
        <v>1524</v>
      </c>
      <c r="E24" s="21">
        <f>VLOOKUP(B24,Sheet3!B:E,4,0)</f>
        <v>563811</v>
      </c>
      <c r="F24" s="4"/>
    </row>
    <row r="25" spans="1:6" ht="23.1" customHeight="1" x14ac:dyDescent="0.25">
      <c r="A25" s="3">
        <v>31</v>
      </c>
      <c r="B25" s="68" t="str">
        <f>'Seating Plan'!H297</f>
        <v xml:space="preserve">BTCS24O1033 </v>
      </c>
      <c r="C25" s="20" t="str">
        <f>VLOOKUP(B25,Sheet3!B:E,2,0)</f>
        <v>AYUSH</v>
      </c>
      <c r="D25" s="21">
        <f>VLOOKUP(B25,Sheet3!B:E,3,0)</f>
        <v>1524</v>
      </c>
      <c r="E25" s="21">
        <f>VLOOKUP(B25,Sheet3!B:E,4,0)</f>
        <v>220309</v>
      </c>
      <c r="F25" s="4"/>
    </row>
    <row r="26" spans="1:6" ht="23.1" customHeight="1" x14ac:dyDescent="0.25">
      <c r="A26" s="3">
        <v>32</v>
      </c>
      <c r="B26" s="68" t="str">
        <f>'Seating Plan'!H298</f>
        <v xml:space="preserve">BTCS24O1034 </v>
      </c>
      <c r="C26" s="20" t="str">
        <f>VLOOKUP(B26,Sheet3!B:E,2,0)</f>
        <v>AYUSH KOUSHAL</v>
      </c>
      <c r="D26" s="21">
        <f>VLOOKUP(B26,Sheet3!B:E,3,0)</f>
        <v>1524</v>
      </c>
      <c r="E26" s="21">
        <f>VLOOKUP(B26,Sheet3!B:E,4,0)</f>
        <v>637872</v>
      </c>
      <c r="F26" s="4"/>
    </row>
    <row r="27" spans="1:6" ht="23.1" customHeight="1" x14ac:dyDescent="0.25">
      <c r="A27" s="3">
        <v>33</v>
      </c>
      <c r="B27" s="68" t="str">
        <f>'Seating Plan'!H299</f>
        <v xml:space="preserve">BTCS24O1035 </v>
      </c>
      <c r="C27" s="20" t="str">
        <f>VLOOKUP(B27,Sheet3!B:E,2,0)</f>
        <v>AYUSH NAGAR</v>
      </c>
      <c r="D27" s="21">
        <f>VLOOKUP(B27,Sheet3!B:E,3,0)</f>
        <v>1524</v>
      </c>
      <c r="E27" s="21">
        <f>VLOOKUP(B27,Sheet3!B:E,4,0)</f>
        <v>317232</v>
      </c>
      <c r="F27" s="4"/>
    </row>
    <row r="28" spans="1:6" ht="23.1" customHeight="1" x14ac:dyDescent="0.25">
      <c r="A28" s="3">
        <v>34</v>
      </c>
      <c r="B28" s="68" t="str">
        <f>'Seating Plan'!H300</f>
        <v xml:space="preserve">BTCS24O1036 </v>
      </c>
      <c r="C28" s="20" t="str">
        <f>VLOOKUP(B28,Sheet3!B:E,2,0)</f>
        <v>BHANU PRATAP SINGH CHAUHAN</v>
      </c>
      <c r="D28" s="21">
        <f>VLOOKUP(B28,Sheet3!B:E,3,0)</f>
        <v>1524</v>
      </c>
      <c r="E28" s="21">
        <f>VLOOKUP(B28,Sheet3!B:E,4,0)</f>
        <v>964350</v>
      </c>
      <c r="F28" s="4"/>
    </row>
    <row r="29" spans="1:6" ht="23.1" hidden="1" customHeight="1" x14ac:dyDescent="0.25">
      <c r="A29" s="3">
        <v>99</v>
      </c>
      <c r="B29" s="68">
        <f>'Seating Plan'!H301</f>
        <v>0</v>
      </c>
      <c r="C29" s="20" t="e">
        <f>VLOOKUP(B29,Sheet3!B:E,2,0)</f>
        <v>#N/A</v>
      </c>
      <c r="D29" s="20" t="e">
        <f>VLOOKUP(B29,Sheet3!B:E,3,0)</f>
        <v>#N/A</v>
      </c>
      <c r="E29" s="20" t="e">
        <f>VLOOKUP(B29,Sheet3!B:E,4,0)</f>
        <v>#N/A</v>
      </c>
      <c r="F29" s="4"/>
    </row>
    <row r="30" spans="1:6" customFormat="1" ht="24.95" customHeight="1" x14ac:dyDescent="0.25">
      <c r="A30" s="1"/>
      <c r="B30" s="1"/>
      <c r="C30" s="1"/>
      <c r="D30" s="1"/>
      <c r="E30" s="1"/>
      <c r="F30" s="1"/>
    </row>
    <row r="31" spans="1:6" customFormat="1" ht="24.95" customHeight="1" x14ac:dyDescent="0.25">
      <c r="A31" s="1" t="s">
        <v>170</v>
      </c>
      <c r="B31" s="1"/>
      <c r="C31" s="1"/>
      <c r="D31" s="1"/>
      <c r="E31" s="1"/>
      <c r="F31" s="1"/>
    </row>
    <row r="32" spans="1:6" customFormat="1" ht="24.95" customHeight="1" x14ac:dyDescent="0.25">
      <c r="A32" s="1" t="s">
        <v>171</v>
      </c>
      <c r="B32" s="1"/>
      <c r="C32" s="1"/>
      <c r="D32" s="1" t="s">
        <v>173</v>
      </c>
      <c r="E32" s="1"/>
      <c r="F32" s="1"/>
    </row>
    <row r="33" spans="1:6" customFormat="1" ht="24.95" customHeight="1" x14ac:dyDescent="0.25">
      <c r="A33" s="1"/>
      <c r="B33" s="1"/>
      <c r="C33" s="1"/>
      <c r="D33" s="1"/>
      <c r="E33" s="1"/>
      <c r="F33" s="1"/>
    </row>
    <row r="34" spans="1:6" customFormat="1" ht="24.95" customHeight="1" x14ac:dyDescent="0.25">
      <c r="A34" s="1"/>
      <c r="B34" s="1"/>
      <c r="C34" s="1"/>
      <c r="D34" s="1" t="s">
        <v>174</v>
      </c>
      <c r="E34" s="1"/>
      <c r="F34" s="1"/>
    </row>
    <row r="35" spans="1:6" customFormat="1" ht="24.95" customHeight="1" x14ac:dyDescent="0.25">
      <c r="A35" s="1" t="s">
        <v>172</v>
      </c>
      <c r="B35" s="1"/>
      <c r="C35" s="1"/>
      <c r="D35" s="1"/>
      <c r="E35" s="1"/>
      <c r="F35" s="1"/>
    </row>
  </sheetData>
  <mergeCells count="6">
    <mergeCell ref="E7:F7"/>
    <mergeCell ref="A1:F1"/>
    <mergeCell ref="A2:F2"/>
    <mergeCell ref="A3:F3"/>
    <mergeCell ref="A4:F4"/>
    <mergeCell ref="A5:F5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9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7B352-C474-472D-9495-007C05B7E181}">
  <dimension ref="A1:F28"/>
  <sheetViews>
    <sheetView topLeftCell="A12" zoomScaleNormal="100" workbookViewId="0">
      <selection activeCell="I27" sqref="I27"/>
    </sheetView>
  </sheetViews>
  <sheetFormatPr defaultColWidth="8.7109375" defaultRowHeight="15" x14ac:dyDescent="0.25"/>
  <cols>
    <col min="1" max="1" width="5.7109375" style="1" customWidth="1"/>
    <col min="2" max="2" width="15.85546875" style="1" customWidth="1"/>
    <col min="3" max="3" width="27.42578125" style="1" customWidth="1"/>
    <col min="4" max="4" width="13.85546875" style="1" customWidth="1"/>
    <col min="5" max="5" width="12.85546875" style="1" customWidth="1"/>
    <col min="6" max="6" width="21.28515625" style="1" customWidth="1"/>
    <col min="7" max="16384" width="8.7109375" style="1"/>
  </cols>
  <sheetData>
    <row r="1" spans="1:6" ht="39.950000000000003" customHeight="1" x14ac:dyDescent="0.3">
      <c r="A1" s="80" t="s">
        <v>168</v>
      </c>
      <c r="B1" s="81"/>
      <c r="C1" s="81"/>
      <c r="D1" s="81"/>
      <c r="E1" s="81"/>
      <c r="F1" s="81"/>
    </row>
    <row r="2" spans="1:6" ht="18.75" x14ac:dyDescent="0.3">
      <c r="A2" s="81" t="s">
        <v>169</v>
      </c>
      <c r="B2" s="81"/>
      <c r="C2" s="81"/>
      <c r="D2" s="81"/>
      <c r="E2" s="81"/>
      <c r="F2" s="81"/>
    </row>
    <row r="3" spans="1:6" x14ac:dyDescent="0.25">
      <c r="A3" s="82" t="s">
        <v>162</v>
      </c>
      <c r="B3" s="82"/>
      <c r="C3" s="82"/>
      <c r="D3" s="82"/>
      <c r="E3" s="82"/>
      <c r="F3" s="82"/>
    </row>
    <row r="4" spans="1:6" x14ac:dyDescent="0.25">
      <c r="A4" s="83" t="s">
        <v>166</v>
      </c>
      <c r="B4" s="82"/>
      <c r="C4" s="82"/>
      <c r="D4" s="82"/>
      <c r="E4" s="82"/>
      <c r="F4" s="82"/>
    </row>
    <row r="5" spans="1:6" x14ac:dyDescent="0.25">
      <c r="A5" s="82" t="s">
        <v>0</v>
      </c>
      <c r="B5" s="82"/>
      <c r="C5" s="82"/>
      <c r="D5" s="82"/>
      <c r="E5" s="82"/>
      <c r="F5" s="82"/>
    </row>
    <row r="6" spans="1:6" ht="22.5" customHeight="1" x14ac:dyDescent="0.25">
      <c r="A6" s="2" t="s">
        <v>165</v>
      </c>
      <c r="C6" s="18"/>
      <c r="F6" s="10" t="str">
        <f>'Seating Plan'!D$3</f>
        <v>08.04.2026</v>
      </c>
    </row>
    <row r="7" spans="1:6" ht="21.95" customHeight="1" x14ac:dyDescent="0.25">
      <c r="A7" s="2" t="s">
        <v>499</v>
      </c>
      <c r="E7" s="106" t="str">
        <f>'Seating Plan'!G$4</f>
        <v>Shift:I (10:00 to 11:00 AM)</v>
      </c>
      <c r="F7" s="106"/>
    </row>
    <row r="8" spans="1:6" ht="24.6" customHeight="1" x14ac:dyDescent="0.25">
      <c r="A8" s="5" t="s">
        <v>1</v>
      </c>
      <c r="B8" s="5" t="s">
        <v>3</v>
      </c>
      <c r="C8" s="5" t="s">
        <v>2</v>
      </c>
      <c r="D8" s="5" t="s">
        <v>19</v>
      </c>
      <c r="E8" s="5" t="s">
        <v>4</v>
      </c>
      <c r="F8" s="5" t="s">
        <v>5</v>
      </c>
    </row>
    <row r="9" spans="1:6" ht="23.1" customHeight="1" x14ac:dyDescent="0.25">
      <c r="A9" s="3">
        <v>1</v>
      </c>
      <c r="B9" s="68" t="str">
        <f>'Seating Plan'!F303</f>
        <v xml:space="preserve">BTCS24O1002 </v>
      </c>
      <c r="C9" s="20" t="str">
        <f>VLOOKUP(B9,Sheet3!B:E,2,0)</f>
        <v>AARYANVI SHARMA</v>
      </c>
      <c r="D9" s="21">
        <f>VLOOKUP(B9,Sheet3!B:E,3,0)</f>
        <v>1524</v>
      </c>
      <c r="E9" s="21">
        <f>VLOOKUP(B9,Sheet3!B:E,4,0)</f>
        <v>734292</v>
      </c>
      <c r="F9" s="4"/>
    </row>
    <row r="10" spans="1:6" ht="23.1" customHeight="1" x14ac:dyDescent="0.25">
      <c r="A10" s="3">
        <v>2</v>
      </c>
      <c r="B10" s="68" t="str">
        <f>'Seating Plan'!F304</f>
        <v xml:space="preserve">BTCS24O1003 </v>
      </c>
      <c r="C10" s="20" t="str">
        <f>VLOOKUP(B10,Sheet3!B:E,2,0)</f>
        <v>ABHIMANYU SINGH</v>
      </c>
      <c r="D10" s="21">
        <f>VLOOKUP(B10,Sheet3!B:E,3,0)</f>
        <v>1524</v>
      </c>
      <c r="E10" s="21">
        <f>VLOOKUP(B10,Sheet3!B:E,4,0)</f>
        <v>961735</v>
      </c>
      <c r="F10" s="4"/>
    </row>
    <row r="11" spans="1:6" ht="23.1" customHeight="1" x14ac:dyDescent="0.25">
      <c r="A11" s="3">
        <v>3</v>
      </c>
      <c r="B11" s="68" t="str">
        <f>'Seating Plan'!F305</f>
        <v xml:space="preserve">BTCS24O1004 </v>
      </c>
      <c r="C11" s="20" t="str">
        <f>VLOOKUP(B11,Sheet3!B:E,2,0)</f>
        <v>ABHISHEK GUPTA</v>
      </c>
      <c r="D11" s="21">
        <f>VLOOKUP(B11,Sheet3!B:E,3,0)</f>
        <v>1524</v>
      </c>
      <c r="E11" s="21">
        <f>VLOOKUP(B11,Sheet3!B:E,4,0)</f>
        <v>753182</v>
      </c>
      <c r="F11" s="4"/>
    </row>
    <row r="12" spans="1:6" ht="23.1" customHeight="1" x14ac:dyDescent="0.25">
      <c r="A12" s="3">
        <v>4</v>
      </c>
      <c r="B12" s="68" t="str">
        <f>'Seating Plan'!F306</f>
        <v xml:space="preserve">BTCS24O1005 </v>
      </c>
      <c r="C12" s="20" t="str">
        <f>VLOOKUP(B12,Sheet3!B:E,2,0)</f>
        <v>ABHISHEK KUMAR</v>
      </c>
      <c r="D12" s="21">
        <f>VLOOKUP(B12,Sheet3!B:E,3,0)</f>
        <v>1524</v>
      </c>
      <c r="E12" s="21">
        <f>VLOOKUP(B12,Sheet3!B:E,4,0)</f>
        <v>557052</v>
      </c>
      <c r="F12" s="4"/>
    </row>
    <row r="13" spans="1:6" ht="23.1" customHeight="1" x14ac:dyDescent="0.25">
      <c r="A13" s="3">
        <v>5</v>
      </c>
      <c r="B13" s="68" t="str">
        <f>'Seating Plan'!F307</f>
        <v xml:space="preserve">BTCS24O1006 </v>
      </c>
      <c r="C13" s="20" t="str">
        <f>VLOOKUP(B13,Sheet3!B:E,2,0)</f>
        <v>ABHISHEK SINGH</v>
      </c>
      <c r="D13" s="21">
        <f>VLOOKUP(B13,Sheet3!B:E,3,0)</f>
        <v>1524</v>
      </c>
      <c r="E13" s="21">
        <f>VLOOKUP(B13,Sheet3!B:E,4,0)</f>
        <v>205836</v>
      </c>
      <c r="F13" s="4"/>
    </row>
    <row r="14" spans="1:6" ht="23.1" customHeight="1" x14ac:dyDescent="0.25">
      <c r="A14" s="3">
        <v>6</v>
      </c>
      <c r="B14" s="68" t="str">
        <f>'Seating Plan'!F308</f>
        <v xml:space="preserve">BTCS24O1007 </v>
      </c>
      <c r="C14" s="20" t="str">
        <f>VLOOKUP(B14,Sheet3!B:E,2,0)</f>
        <v>ABHISHEK SUMAN</v>
      </c>
      <c r="D14" s="21">
        <f>VLOOKUP(B14,Sheet3!B:E,3,0)</f>
        <v>1524</v>
      </c>
      <c r="E14" s="21">
        <f>VLOOKUP(B14,Sheet3!B:E,4,0)</f>
        <v>866555</v>
      </c>
      <c r="F14" s="4"/>
    </row>
    <row r="15" spans="1:6" ht="23.1" customHeight="1" x14ac:dyDescent="0.25">
      <c r="A15" s="3">
        <v>7</v>
      </c>
      <c r="B15" s="68" t="str">
        <f>'Seating Plan'!F309</f>
        <v xml:space="preserve">BTCS24O1009 </v>
      </c>
      <c r="C15" s="20" t="str">
        <f>VLOOKUP(B15,Sheet3!B:E,2,0)</f>
        <v>ADITI AGRAWAL</v>
      </c>
      <c r="D15" s="21">
        <f>VLOOKUP(B15,Sheet3!B:E,3,0)</f>
        <v>1524</v>
      </c>
      <c r="E15" s="21">
        <f>VLOOKUP(B15,Sheet3!B:E,4,0)</f>
        <v>716200</v>
      </c>
      <c r="F15" s="4"/>
    </row>
    <row r="16" spans="1:6" ht="23.1" customHeight="1" x14ac:dyDescent="0.25">
      <c r="A16" s="3">
        <v>8</v>
      </c>
      <c r="B16" s="68" t="str">
        <f>'Seating Plan'!H303</f>
        <v xml:space="preserve">BTCS24O1010 </v>
      </c>
      <c r="C16" s="20" t="str">
        <f>VLOOKUP(B16,Sheet3!B:E,2,0)</f>
        <v>ADITYA CHANDEL</v>
      </c>
      <c r="D16" s="21">
        <f>VLOOKUP(B16,Sheet3!B:E,3,0)</f>
        <v>1524</v>
      </c>
      <c r="E16" s="21">
        <f>VLOOKUP(B16,Sheet3!B:E,4,0)</f>
        <v>135546</v>
      </c>
      <c r="F16" s="4"/>
    </row>
    <row r="17" spans="1:6" ht="23.1" customHeight="1" x14ac:dyDescent="0.25">
      <c r="A17" s="3">
        <v>9</v>
      </c>
      <c r="B17" s="68" t="str">
        <f>'Seating Plan'!H304</f>
        <v xml:space="preserve">BTCS24O1011 </v>
      </c>
      <c r="C17" s="20" t="str">
        <f>VLOOKUP(B17,Sheet3!B:E,2,0)</f>
        <v>ADITYA CHOUHAN</v>
      </c>
      <c r="D17" s="21">
        <f>VLOOKUP(B17,Sheet3!B:E,3,0)</f>
        <v>1524</v>
      </c>
      <c r="E17" s="21">
        <f>VLOOKUP(B17,Sheet3!B:E,4,0)</f>
        <v>465369</v>
      </c>
      <c r="F17" s="4"/>
    </row>
    <row r="18" spans="1:6" ht="23.1" customHeight="1" x14ac:dyDescent="0.25">
      <c r="A18" s="3">
        <v>10</v>
      </c>
      <c r="B18" s="68" t="str">
        <f>'Seating Plan'!H305</f>
        <v xml:space="preserve">BTCS24O1012 </v>
      </c>
      <c r="C18" s="20" t="str">
        <f>VLOOKUP(B18,Sheet3!B:E,2,0)</f>
        <v>ADITYA DUBEY</v>
      </c>
      <c r="D18" s="21">
        <f>VLOOKUP(B18,Sheet3!B:E,3,0)</f>
        <v>1524</v>
      </c>
      <c r="E18" s="21">
        <f>VLOOKUP(B18,Sheet3!B:E,4,0)</f>
        <v>970488</v>
      </c>
      <c r="F18" s="4"/>
    </row>
    <row r="19" spans="1:6" ht="23.1" customHeight="1" x14ac:dyDescent="0.25">
      <c r="A19" s="3">
        <v>11</v>
      </c>
      <c r="B19" s="68" t="str">
        <f>'Seating Plan'!H306</f>
        <v xml:space="preserve">BTCS24O1013 </v>
      </c>
      <c r="C19" s="20" t="str">
        <f>VLOOKUP(B19,Sheet3!B:E,2,0)</f>
        <v>ADITYA PRAKASH</v>
      </c>
      <c r="D19" s="21">
        <f>VLOOKUP(B19,Sheet3!B:E,3,0)</f>
        <v>1524</v>
      </c>
      <c r="E19" s="21">
        <f>VLOOKUP(B19,Sheet3!B:E,4,0)</f>
        <v>705611</v>
      </c>
      <c r="F19" s="4"/>
    </row>
    <row r="20" spans="1:6" ht="23.1" customHeight="1" x14ac:dyDescent="0.25">
      <c r="A20" s="3">
        <v>12</v>
      </c>
      <c r="B20" s="68" t="str">
        <f>'Seating Plan'!H307</f>
        <v xml:space="preserve">BTCS24O1014 </v>
      </c>
      <c r="C20" s="20" t="str">
        <f>VLOOKUP(B20,Sheet3!B:E,2,0)</f>
        <v>ADITYA TANTUWAY</v>
      </c>
      <c r="D20" s="21">
        <f>VLOOKUP(B20,Sheet3!B:E,3,0)</f>
        <v>1524</v>
      </c>
      <c r="E20" s="21">
        <f>VLOOKUP(B20,Sheet3!B:E,4,0)</f>
        <v>550384</v>
      </c>
      <c r="F20" s="4"/>
    </row>
    <row r="21" spans="1:6" ht="23.1" customHeight="1" x14ac:dyDescent="0.25">
      <c r="A21" s="3">
        <v>13</v>
      </c>
      <c r="B21" s="68" t="str">
        <f>'Seating Plan'!H308</f>
        <v xml:space="preserve">BTCS24O1015 </v>
      </c>
      <c r="C21" s="20" t="str">
        <f>VLOOKUP(B21,Sheet3!B:E,2,0)</f>
        <v>AKANKSHA SHARMA</v>
      </c>
      <c r="D21" s="21">
        <f>VLOOKUP(B21,Sheet3!B:E,3,0)</f>
        <v>1524</v>
      </c>
      <c r="E21" s="21">
        <f>VLOOKUP(B21,Sheet3!B:E,4,0)</f>
        <v>553178</v>
      </c>
      <c r="F21" s="4"/>
    </row>
    <row r="22" spans="1:6" ht="23.1" customHeight="1" x14ac:dyDescent="0.25">
      <c r="A22" s="3">
        <v>14</v>
      </c>
      <c r="B22" s="68" t="str">
        <f>'Seating Plan'!H309</f>
        <v xml:space="preserve">BTCS24O1016 </v>
      </c>
      <c r="C22" s="20" t="str">
        <f>VLOOKUP(B22,Sheet3!B:E,2,0)</f>
        <v>AKSHAT GUPTA</v>
      </c>
      <c r="D22" s="21">
        <f>VLOOKUP(B22,Sheet3!B:E,3,0)</f>
        <v>1524</v>
      </c>
      <c r="E22" s="21">
        <f>VLOOKUP(B22,Sheet3!B:E,4,0)</f>
        <v>277587</v>
      </c>
      <c r="F22" s="4"/>
    </row>
    <row r="23" spans="1:6" ht="24.95" customHeight="1" x14ac:dyDescent="0.25"/>
    <row r="24" spans="1:6" ht="24.95" customHeight="1" x14ac:dyDescent="0.25">
      <c r="A24" s="1" t="s">
        <v>170</v>
      </c>
    </row>
    <row r="25" spans="1:6" ht="24.95" customHeight="1" x14ac:dyDescent="0.25">
      <c r="A25" s="1" t="s">
        <v>171</v>
      </c>
      <c r="E25" s="1" t="s">
        <v>173</v>
      </c>
    </row>
    <row r="26" spans="1:6" ht="24.95" customHeight="1" x14ac:dyDescent="0.25"/>
    <row r="27" spans="1:6" ht="24.95" customHeight="1" x14ac:dyDescent="0.25">
      <c r="E27" s="1" t="s">
        <v>174</v>
      </c>
    </row>
    <row r="28" spans="1:6" ht="24.95" customHeight="1" x14ac:dyDescent="0.25">
      <c r="A28" s="1" t="s">
        <v>172</v>
      </c>
    </row>
  </sheetData>
  <mergeCells count="6">
    <mergeCell ref="A1:F1"/>
    <mergeCell ref="A2:F2"/>
    <mergeCell ref="A3:F3"/>
    <mergeCell ref="A4:F4"/>
    <mergeCell ref="A5:F5"/>
    <mergeCell ref="E7:F7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84F5-6CAD-4C04-B64F-A9E8D6AB03FC}">
  <dimension ref="A1:F47"/>
  <sheetViews>
    <sheetView tabSelected="1" zoomScaleNormal="100" workbookViewId="0">
      <selection activeCell="G45" sqref="G45"/>
    </sheetView>
  </sheetViews>
  <sheetFormatPr defaultColWidth="16.85546875" defaultRowHeight="15" x14ac:dyDescent="0.25"/>
  <cols>
    <col min="1" max="1" width="6.42578125" style="1" bestFit="1" customWidth="1"/>
    <col min="2" max="2" width="16" style="1" bestFit="1" customWidth="1"/>
    <col min="3" max="3" width="26.7109375" style="1" customWidth="1"/>
    <col min="4" max="4" width="11.7109375" style="1" customWidth="1"/>
    <col min="5" max="5" width="14.7109375" style="1" customWidth="1"/>
    <col min="6" max="6" width="22.42578125" style="1" customWidth="1"/>
    <col min="7" max="16384" width="16.85546875" style="1"/>
  </cols>
  <sheetData>
    <row r="1" spans="1:6" ht="39.950000000000003" customHeight="1" x14ac:dyDescent="0.3">
      <c r="A1" s="80" t="s">
        <v>168</v>
      </c>
      <c r="B1" s="81"/>
      <c r="C1" s="81"/>
      <c r="D1" s="81"/>
      <c r="E1" s="81"/>
      <c r="F1" s="81"/>
    </row>
    <row r="2" spans="1:6" ht="18.75" x14ac:dyDescent="0.3">
      <c r="A2" s="81" t="s">
        <v>169</v>
      </c>
      <c r="B2" s="81"/>
      <c r="C2" s="81"/>
      <c r="D2" s="81"/>
      <c r="E2" s="81"/>
      <c r="F2" s="81"/>
    </row>
    <row r="3" spans="1:6" x14ac:dyDescent="0.25">
      <c r="A3" s="82" t="s">
        <v>162</v>
      </c>
      <c r="B3" s="82"/>
      <c r="C3" s="82"/>
      <c r="D3" s="82"/>
      <c r="E3" s="82"/>
      <c r="F3" s="82"/>
    </row>
    <row r="4" spans="1:6" x14ac:dyDescent="0.25">
      <c r="A4" s="83" t="s">
        <v>167</v>
      </c>
      <c r="B4" s="82"/>
      <c r="C4" s="82"/>
      <c r="D4" s="82"/>
      <c r="E4" s="82"/>
      <c r="F4" s="82"/>
    </row>
    <row r="5" spans="1:6" x14ac:dyDescent="0.25">
      <c r="A5" s="82" t="s">
        <v>0</v>
      </c>
      <c r="B5" s="82"/>
      <c r="C5" s="82"/>
      <c r="D5" s="82"/>
      <c r="E5" s="82"/>
      <c r="F5" s="82"/>
    </row>
    <row r="6" spans="1:6" x14ac:dyDescent="0.25">
      <c r="A6" s="2" t="s">
        <v>165</v>
      </c>
      <c r="C6" s="18"/>
      <c r="E6" s="2"/>
      <c r="F6" s="7" t="str">
        <f>'Seating Plan'!D$3</f>
        <v>08.04.2026</v>
      </c>
    </row>
    <row r="7" spans="1:6" ht="15" customHeight="1" x14ac:dyDescent="0.25">
      <c r="A7" s="2" t="s">
        <v>164</v>
      </c>
      <c r="E7" s="84" t="str">
        <f>'Seating Plan'!G$4</f>
        <v>Shift:I (10:00 to 11:00 AM)</v>
      </c>
      <c r="F7" s="84"/>
    </row>
    <row r="8" spans="1:6" ht="23.1" customHeight="1" x14ac:dyDescent="0.25">
      <c r="A8" s="5" t="s">
        <v>1</v>
      </c>
      <c r="B8" s="5" t="s">
        <v>3</v>
      </c>
      <c r="C8" s="5" t="s">
        <v>2</v>
      </c>
      <c r="D8" s="5" t="s">
        <v>19</v>
      </c>
      <c r="E8" s="5" t="s">
        <v>4</v>
      </c>
      <c r="F8" s="5" t="s">
        <v>5</v>
      </c>
    </row>
    <row r="9" spans="1:6" ht="23.1" customHeight="1" x14ac:dyDescent="0.25">
      <c r="A9" s="28">
        <v>134</v>
      </c>
      <c r="B9" s="68" t="str">
        <f>'Seating Plan'!F216</f>
        <v xml:space="preserve">BTCS24O1139 </v>
      </c>
      <c r="C9" s="20" t="str">
        <f>VLOOKUP(B9,Sheet3!B:E,2,0)</f>
        <v>UTKARSH KIKAN</v>
      </c>
      <c r="D9" s="20">
        <f>VLOOKUP(B9,Sheet3!B:E,3,0)</f>
        <v>1524</v>
      </c>
      <c r="E9" s="20">
        <f>VLOOKUP(B9,Sheet3!B:E,4,0)</f>
        <v>841524</v>
      </c>
      <c r="F9" s="4"/>
    </row>
    <row r="10" spans="1:6" ht="23.1" customHeight="1" x14ac:dyDescent="0.25">
      <c r="A10" s="28">
        <v>135</v>
      </c>
      <c r="B10" s="68" t="str">
        <f>'Seating Plan'!F217</f>
        <v xml:space="preserve">BTCS24O1140 </v>
      </c>
      <c r="C10" s="20" t="str">
        <f>VLOOKUP(B10,Sheet3!B:E,2,0)</f>
        <v>VAIBHAV PATIDAR</v>
      </c>
      <c r="D10" s="20">
        <f>VLOOKUP(B10,Sheet3!B:E,3,0)</f>
        <v>1524</v>
      </c>
      <c r="E10" s="20">
        <f>VLOOKUP(B10,Sheet3!B:E,4,0)</f>
        <v>113426</v>
      </c>
      <c r="F10" s="4"/>
    </row>
    <row r="11" spans="1:6" ht="23.1" customHeight="1" x14ac:dyDescent="0.25">
      <c r="A11" s="28">
        <v>136</v>
      </c>
      <c r="B11" s="68" t="str">
        <f>'Seating Plan'!F218</f>
        <v xml:space="preserve">BTCS24O1141 </v>
      </c>
      <c r="C11" s="20" t="str">
        <f>VLOOKUP(B11,Sheet3!B:E,2,0)</f>
        <v>VAIDIK PATHAK</v>
      </c>
      <c r="D11" s="20">
        <f>VLOOKUP(B11,Sheet3!B:E,3,0)</f>
        <v>1524</v>
      </c>
      <c r="E11" s="20">
        <f>VLOOKUP(B11,Sheet3!B:E,4,0)</f>
        <v>898706</v>
      </c>
      <c r="F11" s="4"/>
    </row>
    <row r="12" spans="1:6" ht="23.1" customHeight="1" x14ac:dyDescent="0.25">
      <c r="A12" s="28">
        <v>137</v>
      </c>
      <c r="B12" s="68" t="str">
        <f>'Seating Plan'!F219</f>
        <v xml:space="preserve">BTCS24O1142 </v>
      </c>
      <c r="C12" s="20" t="str">
        <f>VLOOKUP(B12,Sheet3!B:E,2,0)</f>
        <v>VAIDIK PATIDAR</v>
      </c>
      <c r="D12" s="20">
        <f>VLOOKUP(B12,Sheet3!B:E,3,0)</f>
        <v>1524</v>
      </c>
      <c r="E12" s="20">
        <f>VLOOKUP(B12,Sheet3!B:E,4,0)</f>
        <v>302726</v>
      </c>
      <c r="F12" s="4"/>
    </row>
    <row r="13" spans="1:6" ht="23.1" customHeight="1" x14ac:dyDescent="0.25">
      <c r="A13" s="28">
        <v>138</v>
      </c>
      <c r="B13" s="68" t="str">
        <f>'Seating Plan'!F220</f>
        <v xml:space="preserve">BTCS24O1143 </v>
      </c>
      <c r="C13" s="20" t="str">
        <f>VLOOKUP(B13,Sheet3!B:E,2,0)</f>
        <v>VAIDIK VERMA</v>
      </c>
      <c r="D13" s="20">
        <f>VLOOKUP(B13,Sheet3!B:E,3,0)</f>
        <v>1524</v>
      </c>
      <c r="E13" s="20">
        <f>VLOOKUP(B13,Sheet3!B:E,4,0)</f>
        <v>179912</v>
      </c>
      <c r="F13" s="4"/>
    </row>
    <row r="14" spans="1:6" ht="23.1" customHeight="1" x14ac:dyDescent="0.25">
      <c r="A14" s="28">
        <v>139</v>
      </c>
      <c r="B14" s="68" t="str">
        <f>'Seating Plan'!F221</f>
        <v xml:space="preserve">BTCS24O1144 </v>
      </c>
      <c r="C14" s="20" t="str">
        <f>VLOOKUP(B14,Sheet3!B:E,2,0)</f>
        <v>VANSH BARYA</v>
      </c>
      <c r="D14" s="20">
        <f>VLOOKUP(B14,Sheet3!B:E,3,0)</f>
        <v>1524</v>
      </c>
      <c r="E14" s="20">
        <f>VLOOKUP(B14,Sheet3!B:E,4,0)</f>
        <v>446859</v>
      </c>
      <c r="F14" s="4"/>
    </row>
    <row r="15" spans="1:6" ht="23.1" customHeight="1" x14ac:dyDescent="0.25">
      <c r="A15" s="28">
        <v>140</v>
      </c>
      <c r="B15" s="68" t="str">
        <f>'Seating Plan'!F222</f>
        <v xml:space="preserve">BTCS24O1145 </v>
      </c>
      <c r="C15" s="20" t="str">
        <f>VLOOKUP(B15,Sheet3!B:E,2,0)</f>
        <v>VANSH PRATAP SINGH JADON</v>
      </c>
      <c r="D15" s="20">
        <f>VLOOKUP(B15,Sheet3!B:E,3,0)</f>
        <v>1524</v>
      </c>
      <c r="E15" s="20">
        <f>VLOOKUP(B15,Sheet3!B:E,4,0)</f>
        <v>466717</v>
      </c>
      <c r="F15" s="4"/>
    </row>
    <row r="16" spans="1:6" ht="23.1" customHeight="1" x14ac:dyDescent="0.25">
      <c r="A16" s="28">
        <v>141</v>
      </c>
      <c r="B16" s="68" t="str">
        <f>'Seating Plan'!F223</f>
        <v xml:space="preserve">BTCS24O1146 </v>
      </c>
      <c r="C16" s="20" t="str">
        <f>VLOOKUP(B16,Sheet3!B:E,2,0)</f>
        <v>VANSHIKA WAMANKAR</v>
      </c>
      <c r="D16" s="20">
        <f>VLOOKUP(B16,Sheet3!B:E,3,0)</f>
        <v>1524</v>
      </c>
      <c r="E16" s="20">
        <f>VLOOKUP(B16,Sheet3!B:E,4,0)</f>
        <v>954940</v>
      </c>
      <c r="F16" s="4"/>
    </row>
    <row r="17" spans="1:6" ht="23.1" customHeight="1" x14ac:dyDescent="0.25">
      <c r="A17" s="28">
        <v>142</v>
      </c>
      <c r="B17" s="68" t="str">
        <f>'Seating Plan'!F224</f>
        <v xml:space="preserve">BTCS24O1147 </v>
      </c>
      <c r="C17" s="20" t="str">
        <f>VLOOKUP(B17,Sheet3!B:E,2,0)</f>
        <v>VED NAGESHWAR</v>
      </c>
      <c r="D17" s="20">
        <f>VLOOKUP(B17,Sheet3!B:E,3,0)</f>
        <v>1524</v>
      </c>
      <c r="E17" s="20">
        <f>VLOOKUP(B17,Sheet3!B:E,4,0)</f>
        <v>770238</v>
      </c>
      <c r="F17" s="4"/>
    </row>
    <row r="18" spans="1:6" ht="23.1" customHeight="1" x14ac:dyDescent="0.25">
      <c r="A18" s="28">
        <v>143</v>
      </c>
      <c r="B18" s="68" t="str">
        <f>'Seating Plan'!F225</f>
        <v xml:space="preserve">BTCS24O1148 </v>
      </c>
      <c r="C18" s="20" t="str">
        <f>VLOOKUP(B18,Sheet3!B:E,2,0)</f>
        <v>VIKAS KUMAR KAUSHAL</v>
      </c>
      <c r="D18" s="20">
        <f>VLOOKUP(B18,Sheet3!B:E,3,0)</f>
        <v>1524</v>
      </c>
      <c r="E18" s="20">
        <f>VLOOKUP(B18,Sheet3!B:E,4,0)</f>
        <v>938334</v>
      </c>
      <c r="F18" s="4"/>
    </row>
    <row r="19" spans="1:6" ht="23.1" customHeight="1" x14ac:dyDescent="0.25">
      <c r="A19" s="28">
        <v>144</v>
      </c>
      <c r="B19" s="68" t="str">
        <f>'Seating Plan'!F226</f>
        <v xml:space="preserve">BTCS24O1149 </v>
      </c>
      <c r="C19" s="20" t="str">
        <f>VLOOKUP(B19,Sheet3!B:E,2,0)</f>
        <v>VIPIN DHAKAD</v>
      </c>
      <c r="D19" s="20">
        <f>VLOOKUP(B19,Sheet3!B:E,3,0)</f>
        <v>1524</v>
      </c>
      <c r="E19" s="20">
        <f>VLOOKUP(B19,Sheet3!B:E,4,0)</f>
        <v>822759</v>
      </c>
      <c r="F19" s="4"/>
    </row>
    <row r="20" spans="1:6" ht="23.1" customHeight="1" x14ac:dyDescent="0.25">
      <c r="A20" s="28">
        <v>145</v>
      </c>
      <c r="B20" s="68" t="str">
        <f>'Seating Plan'!F227</f>
        <v xml:space="preserve">BTCS24O1150 </v>
      </c>
      <c r="C20" s="20" t="str">
        <f>VLOOKUP(B20,Sheet3!B:E,2,0)</f>
        <v>VIVEK BHAGAT</v>
      </c>
      <c r="D20" s="20">
        <f>VLOOKUP(B20,Sheet3!B:E,3,0)</f>
        <v>1524</v>
      </c>
      <c r="E20" s="20">
        <f>VLOOKUP(B20,Sheet3!B:E,4,0)</f>
        <v>238884</v>
      </c>
      <c r="F20" s="4"/>
    </row>
    <row r="21" spans="1:6" ht="23.1" customHeight="1" x14ac:dyDescent="0.25">
      <c r="A21" s="28">
        <v>146</v>
      </c>
      <c r="B21" s="68" t="str">
        <f>'Seating Plan'!F228</f>
        <v xml:space="preserve">BTCS24O1151 </v>
      </c>
      <c r="C21" s="20" t="str">
        <f>VLOOKUP(B21,Sheet3!B:E,2,0)</f>
        <v>VIVEK KUMAR SIHOLIYA</v>
      </c>
      <c r="D21" s="20">
        <f>VLOOKUP(B21,Sheet3!B:E,3,0)</f>
        <v>1524</v>
      </c>
      <c r="E21" s="20">
        <f>VLOOKUP(B21,Sheet3!B:E,4,0)</f>
        <v>880287</v>
      </c>
      <c r="F21" s="4"/>
    </row>
    <row r="22" spans="1:6" ht="23.1" customHeight="1" x14ac:dyDescent="0.25">
      <c r="A22" s="28">
        <v>147</v>
      </c>
      <c r="B22" s="68" t="str">
        <f>'Seating Plan'!F229</f>
        <v xml:space="preserve">BTCS24O1152 </v>
      </c>
      <c r="C22" s="20" t="str">
        <f>VLOOKUP(B22,Sheet3!B:E,2,0)</f>
        <v>YASH BARASKAR</v>
      </c>
      <c r="D22" s="20">
        <f>VLOOKUP(B22,Sheet3!B:E,3,0)</f>
        <v>1524</v>
      </c>
      <c r="E22" s="20">
        <f>VLOOKUP(B22,Sheet3!B:E,4,0)</f>
        <v>118795</v>
      </c>
      <c r="F22" s="4"/>
    </row>
    <row r="23" spans="1:6" ht="23.1" customHeight="1" x14ac:dyDescent="0.25">
      <c r="A23" s="28">
        <v>148</v>
      </c>
      <c r="B23" s="68" t="str">
        <f>'Seating Plan'!F230</f>
        <v xml:space="preserve">BTCS24O1153 </v>
      </c>
      <c r="C23" s="20" t="str">
        <f>VLOOKUP(B23,Sheet3!B:E,2,0)</f>
        <v>YASHIKA AGRAWAL</v>
      </c>
      <c r="D23" s="20">
        <f>VLOOKUP(B23,Sheet3!B:E,3,0)</f>
        <v>1524</v>
      </c>
      <c r="E23" s="20">
        <f>VLOOKUP(B23,Sheet3!B:E,4,0)</f>
        <v>836794</v>
      </c>
      <c r="F23" s="4"/>
    </row>
    <row r="24" spans="1:6" ht="23.1" customHeight="1" x14ac:dyDescent="0.25">
      <c r="A24" s="28">
        <v>149</v>
      </c>
      <c r="B24" s="68" t="str">
        <f>'Seating Plan'!F231</f>
        <v xml:space="preserve">BTCS24O1154 </v>
      </c>
      <c r="C24" s="20" t="str">
        <f>VLOOKUP(B24,Sheet3!B:E,2,0)</f>
        <v>YUVRAJ SINGH NARWARIYA</v>
      </c>
      <c r="D24" s="20">
        <f>VLOOKUP(B24,Sheet3!B:E,3,0)</f>
        <v>1524</v>
      </c>
      <c r="E24" s="20">
        <f>VLOOKUP(B24,Sheet3!B:E,4,0)</f>
        <v>113757</v>
      </c>
      <c r="F24" s="4"/>
    </row>
    <row r="25" spans="1:6" ht="25.5" customHeight="1" x14ac:dyDescent="0.25">
      <c r="A25" s="28">
        <v>150</v>
      </c>
      <c r="B25" s="68" t="str">
        <f>'Seating Plan'!F232</f>
        <v xml:space="preserve">BTCS25O3D01 </v>
      </c>
      <c r="C25" s="20" t="str">
        <f>VLOOKUP(B25,Sheet3!B:E,2,0)</f>
        <v>ADITYA PANDEY</v>
      </c>
      <c r="D25" s="20">
        <f>VLOOKUP(B25,Sheet3!B:E,3,0)</f>
        <v>1524</v>
      </c>
      <c r="E25" s="20">
        <f>VLOOKUP(B25,Sheet3!B:E,4,0)</f>
        <v>660203</v>
      </c>
      <c r="F25" s="4"/>
    </row>
    <row r="26" spans="1:6" ht="23.1" customHeight="1" x14ac:dyDescent="0.25">
      <c r="A26" s="28">
        <v>151</v>
      </c>
      <c r="B26" s="68" t="str">
        <f>'Seating Plan'!H216</f>
        <v xml:space="preserve">BTCS25O3D02 </v>
      </c>
      <c r="C26" s="20" t="str">
        <f>VLOOKUP(B26,Sheet3!B:E,2,0)</f>
        <v>BHAVNA JAIN</v>
      </c>
      <c r="D26" s="20">
        <f>VLOOKUP(B26,Sheet3!B:E,3,0)</f>
        <v>1524</v>
      </c>
      <c r="E26" s="20">
        <f>VLOOKUP(B26,Sheet3!B:E,4,0)</f>
        <v>726700</v>
      </c>
      <c r="F26" s="4"/>
    </row>
    <row r="27" spans="1:6" ht="23.1" customHeight="1" x14ac:dyDescent="0.25">
      <c r="A27" s="28">
        <v>152</v>
      </c>
      <c r="B27" s="68" t="str">
        <f>'Seating Plan'!H217</f>
        <v xml:space="preserve">BTCS25O3D03 </v>
      </c>
      <c r="C27" s="20" t="str">
        <f>VLOOKUP(B27,Sheet3!B:E,2,0)</f>
        <v>GAGAN SINGH RAJPUT</v>
      </c>
      <c r="D27" s="20">
        <f>VLOOKUP(B27,Sheet3!B:E,3,0)</f>
        <v>1524</v>
      </c>
      <c r="E27" s="20">
        <f>VLOOKUP(B27,Sheet3!B:E,4,0)</f>
        <v>205218</v>
      </c>
      <c r="F27" s="4"/>
    </row>
    <row r="28" spans="1:6" ht="23.1" customHeight="1" x14ac:dyDescent="0.25">
      <c r="A28" s="28">
        <v>153</v>
      </c>
      <c r="B28" s="68" t="str">
        <f>'Seating Plan'!H218</f>
        <v xml:space="preserve">BTCS25O3D04 </v>
      </c>
      <c r="C28" s="20" t="str">
        <f>VLOOKUP(B28,Sheet3!B:E,2,0)</f>
        <v>ISHA BATHAM</v>
      </c>
      <c r="D28" s="20">
        <f>VLOOKUP(B28,Sheet3!B:E,3,0)</f>
        <v>1524</v>
      </c>
      <c r="E28" s="20">
        <f>VLOOKUP(B28,Sheet3!B:E,4,0)</f>
        <v>648338</v>
      </c>
      <c r="F28" s="4"/>
    </row>
    <row r="29" spans="1:6" ht="23.1" customHeight="1" x14ac:dyDescent="0.25">
      <c r="A29" s="28">
        <v>154</v>
      </c>
      <c r="B29" s="68" t="str">
        <f>'Seating Plan'!H219</f>
        <v xml:space="preserve">BTCS25O3D05 </v>
      </c>
      <c r="C29" s="20" t="str">
        <f>VLOOKUP(B29,Sheet3!B:E,2,0)</f>
        <v>MANIRAJ SINGH</v>
      </c>
      <c r="D29" s="20">
        <f>VLOOKUP(B29,Sheet3!B:E,3,0)</f>
        <v>1524</v>
      </c>
      <c r="E29" s="20">
        <f>VLOOKUP(B29,Sheet3!B:E,4,0)</f>
        <v>943128</v>
      </c>
      <c r="F29" s="4"/>
    </row>
    <row r="30" spans="1:6" ht="23.1" customHeight="1" x14ac:dyDescent="0.25">
      <c r="A30" s="28">
        <v>155</v>
      </c>
      <c r="B30" s="68" t="str">
        <f>'Seating Plan'!H220</f>
        <v xml:space="preserve">BTCS25O3D06 </v>
      </c>
      <c r="C30" s="20" t="str">
        <f>VLOOKUP(B30,Sheet3!B:E,2,0)</f>
        <v>NITIKA JATAV</v>
      </c>
      <c r="D30" s="20">
        <f>VLOOKUP(B30,Sheet3!B:E,3,0)</f>
        <v>1524</v>
      </c>
      <c r="E30" s="20">
        <f>VLOOKUP(B30,Sheet3!B:E,4,0)</f>
        <v>671829</v>
      </c>
      <c r="F30" s="4"/>
    </row>
    <row r="31" spans="1:6" ht="23.1" customHeight="1" x14ac:dyDescent="0.25">
      <c r="A31" s="28">
        <v>156</v>
      </c>
      <c r="B31" s="68" t="str">
        <f>'Seating Plan'!H221</f>
        <v xml:space="preserve">BTCS25O3D07 </v>
      </c>
      <c r="C31" s="20" t="str">
        <f>VLOOKUP(B31,Sheet3!B:E,2,0)</f>
        <v>PRAYANSHU TOMAR</v>
      </c>
      <c r="D31" s="20">
        <f>VLOOKUP(B31,Sheet3!B:E,3,0)</f>
        <v>1524</v>
      </c>
      <c r="E31" s="20">
        <f>VLOOKUP(B31,Sheet3!B:E,4,0)</f>
        <v>601828</v>
      </c>
      <c r="F31" s="4"/>
    </row>
    <row r="32" spans="1:6" ht="23.1" customHeight="1" x14ac:dyDescent="0.25">
      <c r="A32" s="28">
        <v>157</v>
      </c>
      <c r="B32" s="68" t="str">
        <f>'Seating Plan'!H222</f>
        <v xml:space="preserve">BTCS25O3D08 </v>
      </c>
      <c r="C32" s="20" t="str">
        <f>VLOOKUP(B32,Sheet3!B:E,2,0)</f>
        <v>SIVAM</v>
      </c>
      <c r="D32" s="20">
        <f>VLOOKUP(B32,Sheet3!B:E,3,0)</f>
        <v>1524</v>
      </c>
      <c r="E32" s="20">
        <f>VLOOKUP(B32,Sheet3!B:E,4,0)</f>
        <v>770343</v>
      </c>
      <c r="F32" s="4"/>
    </row>
    <row r="33" spans="1:6" ht="23.1" customHeight="1" x14ac:dyDescent="0.25">
      <c r="A33" s="28">
        <v>158</v>
      </c>
      <c r="B33" s="68" t="str">
        <f>'Seating Plan'!H223</f>
        <v xml:space="preserve">BTCS25O3D09 </v>
      </c>
      <c r="C33" s="20" t="str">
        <f>VLOOKUP(B33,Sheet3!B:E,2,0)</f>
        <v>SRIJAN VERMA</v>
      </c>
      <c r="D33" s="20">
        <f>VLOOKUP(B33,Sheet3!B:E,3,0)</f>
        <v>1524</v>
      </c>
      <c r="E33" s="20">
        <f>VLOOKUP(B33,Sheet3!B:E,4,0)</f>
        <v>995045</v>
      </c>
      <c r="F33" s="4"/>
    </row>
    <row r="34" spans="1:6" ht="23.1" customHeight="1" x14ac:dyDescent="0.25">
      <c r="A34" s="28">
        <v>159</v>
      </c>
      <c r="B34" s="68" t="str">
        <f>'Seating Plan'!H224</f>
        <v xml:space="preserve">BTCS25O3D10 </v>
      </c>
      <c r="C34" s="20" t="str">
        <f>VLOOKUP(B34,Sheet3!B:E,2,0)</f>
        <v>VISHAL MATHE</v>
      </c>
      <c r="D34" s="20">
        <f>VLOOKUP(B34,Sheet3!B:E,3,0)</f>
        <v>1524</v>
      </c>
      <c r="E34" s="20">
        <f>VLOOKUP(B34,Sheet3!B:E,4,0)</f>
        <v>557152</v>
      </c>
      <c r="F34" s="4"/>
    </row>
    <row r="35" spans="1:6" ht="23.1" customHeight="1" x14ac:dyDescent="0.25">
      <c r="A35" s="28">
        <v>160</v>
      </c>
      <c r="B35" s="68" t="str">
        <f>'Seating Plan'!H225</f>
        <v xml:space="preserve">BTCS25O3D11 </v>
      </c>
      <c r="C35" s="20" t="str">
        <f>VLOOKUP(B35,Sheet3!B:E,2,0)</f>
        <v>SAMRIDDHI MISHRA</v>
      </c>
      <c r="D35" s="20">
        <f>VLOOKUP(B35,Sheet3!B:E,3,0)</f>
        <v>1524</v>
      </c>
      <c r="E35" s="20">
        <f>VLOOKUP(B35,Sheet3!B:E,4,0)</f>
        <v>862001</v>
      </c>
      <c r="F35" s="4"/>
    </row>
    <row r="36" spans="1:6" ht="23.1" customHeight="1" x14ac:dyDescent="0.25">
      <c r="A36" s="28">
        <v>161</v>
      </c>
      <c r="B36" s="68" t="str">
        <f>'Seating Plan'!H226</f>
        <v xml:space="preserve">BTCS25O3D12 </v>
      </c>
      <c r="C36" s="20" t="str">
        <f>VLOOKUP(B36,Sheet3!B:E,2,0)</f>
        <v>GAURAV TOMAR</v>
      </c>
      <c r="D36" s="20">
        <f>VLOOKUP(B36,Sheet3!B:E,3,0)</f>
        <v>1524</v>
      </c>
      <c r="E36" s="20">
        <f>VLOOKUP(B36,Sheet3!B:E,4,0)</f>
        <v>690551</v>
      </c>
      <c r="F36" s="4"/>
    </row>
    <row r="37" spans="1:6" ht="23.1" hidden="1" customHeight="1" x14ac:dyDescent="0.25">
      <c r="A37" s="28">
        <v>128</v>
      </c>
      <c r="B37" s="68">
        <f>'Seating Plan'!H227</f>
        <v>0</v>
      </c>
      <c r="C37" s="20" t="e">
        <f>VLOOKUP(B37,Sheet3!B:E,2,0)</f>
        <v>#N/A</v>
      </c>
      <c r="D37" s="20" t="e">
        <f>VLOOKUP(B37,Sheet3!B:E,3,0)</f>
        <v>#N/A</v>
      </c>
      <c r="E37" s="20" t="e">
        <f>VLOOKUP(B37,Sheet3!B:E,4,0)</f>
        <v>#N/A</v>
      </c>
      <c r="F37" s="4"/>
    </row>
    <row r="38" spans="1:6" ht="23.1" hidden="1" customHeight="1" x14ac:dyDescent="0.25">
      <c r="A38" s="28">
        <v>129</v>
      </c>
      <c r="B38" s="68">
        <f>'Seating Plan'!H228</f>
        <v>0</v>
      </c>
      <c r="C38" s="20" t="e">
        <f>VLOOKUP(B38,Sheet3!B:E,2,0)</f>
        <v>#N/A</v>
      </c>
      <c r="D38" s="20" t="e">
        <f>VLOOKUP(B38,Sheet3!B:E,3,0)</f>
        <v>#N/A</v>
      </c>
      <c r="E38" s="20" t="e">
        <f>VLOOKUP(B38,Sheet3!B:E,4,0)</f>
        <v>#N/A</v>
      </c>
      <c r="F38" s="4"/>
    </row>
    <row r="39" spans="1:6" ht="23.1" hidden="1" customHeight="1" x14ac:dyDescent="0.25">
      <c r="A39" s="28">
        <v>130</v>
      </c>
      <c r="B39" s="68">
        <f>'Seating Plan'!H229</f>
        <v>0</v>
      </c>
      <c r="C39" s="20" t="e">
        <f>VLOOKUP(B39,Sheet3!B:E,2,0)</f>
        <v>#N/A</v>
      </c>
      <c r="D39" s="20" t="e">
        <f>VLOOKUP(B39,Sheet3!B:E,3,0)</f>
        <v>#N/A</v>
      </c>
      <c r="E39" s="20" t="e">
        <f>VLOOKUP(B39,Sheet3!B:E,4,0)</f>
        <v>#N/A</v>
      </c>
      <c r="F39" s="4"/>
    </row>
    <row r="40" spans="1:6" ht="23.1" hidden="1" customHeight="1" x14ac:dyDescent="0.25">
      <c r="A40" s="28">
        <v>131</v>
      </c>
      <c r="B40" s="68">
        <f>'Seating Plan'!H230</f>
        <v>0</v>
      </c>
      <c r="C40" s="20" t="e">
        <f>VLOOKUP(B40,Sheet3!B:E,2,0)</f>
        <v>#N/A</v>
      </c>
      <c r="D40" s="20" t="e">
        <f>VLOOKUP(B40,Sheet3!B:E,3,0)</f>
        <v>#N/A</v>
      </c>
      <c r="E40" s="20" t="e">
        <f>VLOOKUP(B40,Sheet3!B:E,4,0)</f>
        <v>#N/A</v>
      </c>
      <c r="F40" s="4"/>
    </row>
    <row r="41" spans="1:6" ht="23.1" hidden="1" customHeight="1" x14ac:dyDescent="0.25">
      <c r="A41" s="28">
        <v>132</v>
      </c>
      <c r="B41" s="68">
        <f>'Seating Plan'!H231</f>
        <v>0</v>
      </c>
      <c r="C41" s="20" t="e">
        <f>VLOOKUP(B41,Sheet3!B:E,2,0)</f>
        <v>#N/A</v>
      </c>
      <c r="D41" s="20" t="e">
        <f>VLOOKUP(B41,Sheet3!B:E,3,0)</f>
        <v>#N/A</v>
      </c>
      <c r="E41" s="20" t="e">
        <f>VLOOKUP(B41,Sheet3!B:E,4,0)</f>
        <v>#N/A</v>
      </c>
      <c r="F41" s="4"/>
    </row>
    <row r="42" spans="1:6" customFormat="1" ht="24.95" hidden="1" customHeight="1" x14ac:dyDescent="0.25">
      <c r="A42" s="1"/>
      <c r="B42" s="1"/>
      <c r="C42" s="1"/>
      <c r="D42" s="1"/>
      <c r="E42" s="1"/>
      <c r="F42" s="1"/>
    </row>
    <row r="43" spans="1:6" customFormat="1" ht="24.95" customHeight="1" x14ac:dyDescent="0.25">
      <c r="A43" s="1" t="s">
        <v>170</v>
      </c>
      <c r="B43" s="1"/>
      <c r="C43" s="1"/>
      <c r="D43" s="1"/>
      <c r="E43" s="1"/>
      <c r="F43" s="1"/>
    </row>
    <row r="44" spans="1:6" customFormat="1" ht="24.95" customHeight="1" x14ac:dyDescent="0.25">
      <c r="A44" s="1" t="s">
        <v>171</v>
      </c>
      <c r="B44" s="1"/>
      <c r="C44" s="1"/>
      <c r="D44" s="1" t="s">
        <v>173</v>
      </c>
      <c r="E44" s="1"/>
      <c r="F44" s="1"/>
    </row>
    <row r="45" spans="1:6" customFormat="1" ht="24.95" customHeight="1" x14ac:dyDescent="0.25">
      <c r="A45" s="1"/>
      <c r="B45" s="1"/>
      <c r="C45" s="1"/>
      <c r="D45" s="1"/>
      <c r="E45" s="1"/>
      <c r="F45" s="1"/>
    </row>
    <row r="46" spans="1:6" customFormat="1" ht="24.95" customHeight="1" x14ac:dyDescent="0.25">
      <c r="A46" s="1"/>
      <c r="B46" s="1"/>
      <c r="C46" s="1"/>
      <c r="D46" s="1" t="s">
        <v>174</v>
      </c>
      <c r="E46" s="1"/>
      <c r="F46" s="1"/>
    </row>
    <row r="47" spans="1:6" customFormat="1" ht="24.95" customHeight="1" x14ac:dyDescent="0.25">
      <c r="A47" s="1" t="s">
        <v>172</v>
      </c>
      <c r="B47" s="1"/>
      <c r="C47" s="1"/>
      <c r="D47" s="1"/>
      <c r="E47" s="1"/>
      <c r="F47" s="1"/>
    </row>
  </sheetData>
  <mergeCells count="6">
    <mergeCell ref="E7:F7"/>
    <mergeCell ref="A1:F1"/>
    <mergeCell ref="A2:F2"/>
    <mergeCell ref="A3:F3"/>
    <mergeCell ref="A4:F4"/>
    <mergeCell ref="A5:F5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7F95C-EBB3-474C-9BAE-72508152B616}">
  <dimension ref="A1:J38"/>
  <sheetViews>
    <sheetView topLeftCell="A21" zoomScaleNormal="100" workbookViewId="0">
      <selection activeCell="I36" sqref="I36"/>
    </sheetView>
  </sheetViews>
  <sheetFormatPr defaultColWidth="8.7109375" defaultRowHeight="15" x14ac:dyDescent="0.25"/>
  <cols>
    <col min="1" max="1" width="5.7109375" style="1" customWidth="1"/>
    <col min="2" max="2" width="15.85546875" style="1" customWidth="1"/>
    <col min="3" max="3" width="27.28515625" style="1" customWidth="1"/>
    <col min="4" max="4" width="14.85546875" style="1" customWidth="1"/>
    <col min="5" max="5" width="12.7109375" style="1" customWidth="1"/>
    <col min="6" max="6" width="17" style="1" customWidth="1"/>
    <col min="7" max="16384" width="8.7109375" style="1"/>
  </cols>
  <sheetData>
    <row r="1" spans="1:6" ht="39.950000000000003" customHeight="1" x14ac:dyDescent="0.3">
      <c r="A1" s="80" t="s">
        <v>168</v>
      </c>
      <c r="B1" s="81"/>
      <c r="C1" s="81"/>
      <c r="D1" s="81"/>
      <c r="E1" s="81"/>
      <c r="F1" s="81"/>
    </row>
    <row r="2" spans="1:6" ht="18.75" x14ac:dyDescent="0.3">
      <c r="A2" s="81" t="s">
        <v>169</v>
      </c>
      <c r="B2" s="81"/>
      <c r="C2" s="81"/>
      <c r="D2" s="81"/>
      <c r="E2" s="81"/>
      <c r="F2" s="81"/>
    </row>
    <row r="3" spans="1:6" x14ac:dyDescent="0.25">
      <c r="A3" s="82" t="s">
        <v>162</v>
      </c>
      <c r="B3" s="82"/>
      <c r="C3" s="82"/>
      <c r="D3" s="82"/>
      <c r="E3" s="82"/>
      <c r="F3" s="82"/>
    </row>
    <row r="4" spans="1:6" x14ac:dyDescent="0.25">
      <c r="A4" s="83" t="s">
        <v>11</v>
      </c>
      <c r="B4" s="82"/>
      <c r="C4" s="82"/>
      <c r="D4" s="82"/>
      <c r="E4" s="82"/>
      <c r="F4" s="82"/>
    </row>
    <row r="5" spans="1:6" x14ac:dyDescent="0.25">
      <c r="A5" s="82" t="s">
        <v>0</v>
      </c>
      <c r="B5" s="82"/>
      <c r="C5" s="82"/>
      <c r="D5" s="82"/>
      <c r="E5" s="82"/>
      <c r="F5" s="82"/>
    </row>
    <row r="6" spans="1:6" ht="22.5" customHeight="1" x14ac:dyDescent="0.25">
      <c r="A6" s="2" t="s">
        <v>165</v>
      </c>
      <c r="C6" s="18"/>
      <c r="E6" s="2"/>
      <c r="F6" s="7" t="str">
        <f>'Seating Plan'!D$3</f>
        <v>08.04.2026</v>
      </c>
    </row>
    <row r="7" spans="1:6" ht="21.95" customHeight="1" x14ac:dyDescent="0.25">
      <c r="A7" s="2" t="s">
        <v>164</v>
      </c>
      <c r="E7" s="84" t="str">
        <f>'Seating Plan'!G$4</f>
        <v>Shift:I (10:00 to 11:00 AM)</v>
      </c>
      <c r="F7" s="84"/>
    </row>
    <row r="8" spans="1:6" ht="24.6" customHeight="1" x14ac:dyDescent="0.25">
      <c r="A8" s="5" t="s">
        <v>1</v>
      </c>
      <c r="B8" s="5" t="s">
        <v>3</v>
      </c>
      <c r="C8" s="5" t="s">
        <v>2</v>
      </c>
      <c r="D8" s="5" t="s">
        <v>19</v>
      </c>
      <c r="E8" s="5" t="s">
        <v>4</v>
      </c>
      <c r="F8" s="5" t="s">
        <v>5</v>
      </c>
    </row>
    <row r="9" spans="1:6" ht="23.1" customHeight="1" x14ac:dyDescent="0.25">
      <c r="A9" s="3">
        <v>111</v>
      </c>
      <c r="B9" s="68" t="str">
        <f>'Seating Plan'!F234</f>
        <v xml:space="preserve">BTCS24O1116 </v>
      </c>
      <c r="C9" s="20" t="str">
        <f>VLOOKUP(B9,Sheet3!B:E,2,0)</f>
        <v>SAHIL MAHOUR</v>
      </c>
      <c r="D9" s="20">
        <f>VLOOKUP(B9,Sheet3!B:E,3,0)</f>
        <v>1524</v>
      </c>
      <c r="E9" s="20">
        <f>VLOOKUP(B9,Sheet3!B:E,4,0)</f>
        <v>264352</v>
      </c>
      <c r="F9" s="4"/>
    </row>
    <row r="10" spans="1:6" ht="23.1" customHeight="1" x14ac:dyDescent="0.25">
      <c r="A10" s="3">
        <v>112</v>
      </c>
      <c r="B10" s="68" t="str">
        <f>'Seating Plan'!F235</f>
        <v xml:space="preserve">BTCS24O1117 </v>
      </c>
      <c r="C10" s="20" t="str">
        <f>VLOOKUP(B10,Sheet3!B:E,2,0)</f>
        <v>SAKSHAM SHRIVASTAVA</v>
      </c>
      <c r="D10" s="20">
        <f>VLOOKUP(B10,Sheet3!B:E,3,0)</f>
        <v>1524</v>
      </c>
      <c r="E10" s="20">
        <f>VLOOKUP(B10,Sheet3!B:E,4,0)</f>
        <v>450878</v>
      </c>
      <c r="F10" s="4"/>
    </row>
    <row r="11" spans="1:6" ht="23.1" customHeight="1" x14ac:dyDescent="0.25">
      <c r="A11" s="3">
        <v>113</v>
      </c>
      <c r="B11" s="68" t="str">
        <f>'Seating Plan'!F236</f>
        <v xml:space="preserve">BTCS24O1118 </v>
      </c>
      <c r="C11" s="20" t="str">
        <f>VLOOKUP(B11,Sheet3!B:E,2,0)</f>
        <v>SANDEEP</v>
      </c>
      <c r="D11" s="20">
        <f>VLOOKUP(B11,Sheet3!B:E,3,0)</f>
        <v>1524</v>
      </c>
      <c r="E11" s="20">
        <f>VLOOKUP(B11,Sheet3!B:E,4,0)</f>
        <v>810251</v>
      </c>
      <c r="F11" s="4"/>
    </row>
    <row r="12" spans="1:6" ht="23.1" customHeight="1" x14ac:dyDescent="0.25">
      <c r="A12" s="3">
        <v>114</v>
      </c>
      <c r="B12" s="68" t="str">
        <f>'Seating Plan'!F237</f>
        <v xml:space="preserve">BTCS24O1119 </v>
      </c>
      <c r="C12" s="20" t="str">
        <f>VLOOKUP(B12,Sheet3!B:E,2,0)</f>
        <v>SANDEEP KUMAR GOND</v>
      </c>
      <c r="D12" s="20">
        <f>VLOOKUP(B12,Sheet3!B:E,3,0)</f>
        <v>1524</v>
      </c>
      <c r="E12" s="20">
        <f>VLOOKUP(B12,Sheet3!B:E,4,0)</f>
        <v>608502</v>
      </c>
      <c r="F12" s="4"/>
    </row>
    <row r="13" spans="1:6" ht="23.1" customHeight="1" x14ac:dyDescent="0.25">
      <c r="A13" s="3">
        <v>115</v>
      </c>
      <c r="B13" s="68" t="str">
        <f>'Seating Plan'!F238</f>
        <v xml:space="preserve">BTCS24O1120 </v>
      </c>
      <c r="C13" s="20" t="str">
        <f>VLOOKUP(B13,Sheet3!B:E,2,0)</f>
        <v>SARTHAK AGRAWAL</v>
      </c>
      <c r="D13" s="20">
        <f>VLOOKUP(B13,Sheet3!B:E,3,0)</f>
        <v>1524</v>
      </c>
      <c r="E13" s="20">
        <f>VLOOKUP(B13,Sheet3!B:E,4,0)</f>
        <v>751216</v>
      </c>
      <c r="F13" s="4"/>
    </row>
    <row r="14" spans="1:6" ht="23.1" customHeight="1" x14ac:dyDescent="0.25">
      <c r="A14" s="3">
        <v>116</v>
      </c>
      <c r="B14" s="68" t="str">
        <f>'Seating Plan'!F239</f>
        <v xml:space="preserve">BTCS24O1121 </v>
      </c>
      <c r="C14" s="20" t="str">
        <f>VLOOKUP(B14,Sheet3!B:E,2,0)</f>
        <v>SEJAL SINGH BAGHEL</v>
      </c>
      <c r="D14" s="20">
        <f>VLOOKUP(B14,Sheet3!B:E,3,0)</f>
        <v>1524</v>
      </c>
      <c r="E14" s="20">
        <f>VLOOKUP(B14,Sheet3!B:E,4,0)</f>
        <v>857923</v>
      </c>
      <c r="F14" s="4"/>
    </row>
    <row r="15" spans="1:6" ht="23.1" customHeight="1" x14ac:dyDescent="0.25">
      <c r="A15" s="3">
        <v>117</v>
      </c>
      <c r="B15" s="68" t="str">
        <f>'Seating Plan'!F240</f>
        <v xml:space="preserve">BTCS24O1122 </v>
      </c>
      <c r="C15" s="20" t="str">
        <f>VLOOKUP(B15,Sheet3!B:E,2,0)</f>
        <v>SHIKHAR NAYAK</v>
      </c>
      <c r="D15" s="20">
        <f>VLOOKUP(B15,Sheet3!B:E,3,0)</f>
        <v>1524</v>
      </c>
      <c r="E15" s="20">
        <f>VLOOKUP(B15,Sheet3!B:E,4,0)</f>
        <v>169610</v>
      </c>
      <c r="F15" s="4"/>
    </row>
    <row r="16" spans="1:6" ht="23.1" customHeight="1" x14ac:dyDescent="0.25">
      <c r="A16" s="3">
        <v>118</v>
      </c>
      <c r="B16" s="68" t="str">
        <f>'Seating Plan'!F241</f>
        <v xml:space="preserve">BTCS24O1123 </v>
      </c>
      <c r="C16" s="20" t="str">
        <f>VLOOKUP(B16,Sheet3!B:E,2,0)</f>
        <v>SHIVAM SHARMA</v>
      </c>
      <c r="D16" s="20">
        <f>VLOOKUP(B16,Sheet3!B:E,3,0)</f>
        <v>1524</v>
      </c>
      <c r="E16" s="20">
        <f>VLOOKUP(B16,Sheet3!B:E,4,0)</f>
        <v>747392</v>
      </c>
      <c r="F16" s="4"/>
    </row>
    <row r="17" spans="1:10" ht="23.1" customHeight="1" x14ac:dyDescent="0.25">
      <c r="A17" s="3">
        <v>119</v>
      </c>
      <c r="B17" s="68" t="str">
        <f>'Seating Plan'!F242</f>
        <v xml:space="preserve">BTCS24O1124 </v>
      </c>
      <c r="C17" s="20" t="str">
        <f>VLOOKUP(B17,Sheet3!B:E,2,0)</f>
        <v>SHIVANI RAGHUWANSHI</v>
      </c>
      <c r="D17" s="20">
        <f>VLOOKUP(B17,Sheet3!B:E,3,0)</f>
        <v>1524</v>
      </c>
      <c r="E17" s="20">
        <f>VLOOKUP(B17,Sheet3!B:E,4,0)</f>
        <v>429561</v>
      </c>
      <c r="F17" s="4"/>
    </row>
    <row r="18" spans="1:10" ht="23.1" customHeight="1" x14ac:dyDescent="0.25">
      <c r="A18" s="3">
        <v>120</v>
      </c>
      <c r="B18" s="77" t="str">
        <f>'Seating Plan'!F243</f>
        <v xml:space="preserve">BTCS24O1125 </v>
      </c>
      <c r="C18" s="22" t="str">
        <f>VLOOKUP(B18,Sheet3!B:E,2,0)</f>
        <v>SHIVANSH SONI</v>
      </c>
      <c r="D18" s="22">
        <f>VLOOKUP(B18,Sheet3!B:E,3,0)</f>
        <v>1524</v>
      </c>
      <c r="E18" s="22">
        <f>VLOOKUP(B18,Sheet3!B:E,4,0)</f>
        <v>583355</v>
      </c>
      <c r="F18" s="59"/>
      <c r="J18" s="1" t="s">
        <v>115</v>
      </c>
    </row>
    <row r="19" spans="1:10" ht="23.1" customHeight="1" x14ac:dyDescent="0.25">
      <c r="A19" s="3">
        <v>121</v>
      </c>
      <c r="B19" s="68" t="str">
        <f>'Seating Plan'!F244</f>
        <v xml:space="preserve">BTCS24O1126 </v>
      </c>
      <c r="C19" s="20" t="str">
        <f>VLOOKUP(B19,Sheet3!B:E,2,0)</f>
        <v>SHOAIB KHAN</v>
      </c>
      <c r="D19" s="20">
        <f>VLOOKUP(B19,Sheet3!B:E,3,0)</f>
        <v>1524</v>
      </c>
      <c r="E19" s="20">
        <f>VLOOKUP(B19,Sheet3!B:E,4,0)</f>
        <v>811191</v>
      </c>
      <c r="F19" s="4"/>
    </row>
    <row r="20" spans="1:10" ht="23.1" customHeight="1" x14ac:dyDescent="0.25">
      <c r="A20" s="3">
        <v>122</v>
      </c>
      <c r="B20" s="68" t="str">
        <f>'Seating Plan'!F245</f>
        <v xml:space="preserve">BTCS24O1127 </v>
      </c>
      <c r="C20" s="20" t="str">
        <f>VLOOKUP(B20,Sheet3!B:E,2,0)</f>
        <v>SHREYA GOYAL</v>
      </c>
      <c r="D20" s="20">
        <f>VLOOKUP(B20,Sheet3!B:E,3,0)</f>
        <v>1524</v>
      </c>
      <c r="E20" s="20">
        <f>VLOOKUP(B20,Sheet3!B:E,4,0)</f>
        <v>229203</v>
      </c>
      <c r="F20" s="4"/>
    </row>
    <row r="21" spans="1:10" ht="23.1" customHeight="1" x14ac:dyDescent="0.25">
      <c r="A21" s="3">
        <v>123</v>
      </c>
      <c r="B21" s="68" t="str">
        <f>'Seating Plan'!F246</f>
        <v xml:space="preserve">BTCS24O1128 </v>
      </c>
      <c r="C21" s="20" t="str">
        <f>VLOOKUP(B21,Sheet3!B:E,2,0)</f>
        <v>SHREYASH RAWAL</v>
      </c>
      <c r="D21" s="20">
        <f>VLOOKUP(B21,Sheet3!B:E,3,0)</f>
        <v>1524</v>
      </c>
      <c r="E21" s="20">
        <f>VLOOKUP(B21,Sheet3!B:E,4,0)</f>
        <v>441663</v>
      </c>
      <c r="F21" s="4"/>
    </row>
    <row r="22" spans="1:10" ht="23.1" customHeight="1" x14ac:dyDescent="0.25">
      <c r="A22" s="3">
        <v>124</v>
      </c>
      <c r="B22" s="68" t="str">
        <f>'Seating Plan'!H234</f>
        <v xml:space="preserve">BTCS24O1129 </v>
      </c>
      <c r="C22" s="20" t="str">
        <f>VLOOKUP(B22,Sheet3!B:E,2,0)</f>
        <v>SHRUTI TIWARI</v>
      </c>
      <c r="D22" s="20">
        <f>VLOOKUP(B22,Sheet3!B:E,3,0)</f>
        <v>1524</v>
      </c>
      <c r="E22" s="20">
        <f>VLOOKUP(B22,Sheet3!B:E,4,0)</f>
        <v>645626</v>
      </c>
      <c r="F22" s="4"/>
    </row>
    <row r="23" spans="1:10" ht="23.1" customHeight="1" x14ac:dyDescent="0.25">
      <c r="A23" s="3">
        <v>125</v>
      </c>
      <c r="B23" s="68" t="str">
        <f>'Seating Plan'!H235</f>
        <v xml:space="preserve">BTCS24O1130 </v>
      </c>
      <c r="C23" s="20" t="str">
        <f>VLOOKUP(B23,Sheet3!B:E,2,0)</f>
        <v>SHUBHAM PARMAR</v>
      </c>
      <c r="D23" s="20">
        <f>VLOOKUP(B23,Sheet3!B:E,3,0)</f>
        <v>1524</v>
      </c>
      <c r="E23" s="20">
        <f>VLOOKUP(B23,Sheet3!B:E,4,0)</f>
        <v>856954</v>
      </c>
      <c r="F23" s="4"/>
    </row>
    <row r="24" spans="1:10" ht="23.1" customHeight="1" x14ac:dyDescent="0.25">
      <c r="A24" s="3">
        <v>126</v>
      </c>
      <c r="B24" s="68" t="str">
        <f>'Seating Plan'!H236</f>
        <v xml:space="preserve">BTCS24O1131 </v>
      </c>
      <c r="C24" s="20" t="str">
        <f>VLOOKUP(B24,Sheet3!B:E,2,0)</f>
        <v>SHUBHAM PRAJAPATI</v>
      </c>
      <c r="D24" s="20">
        <f>VLOOKUP(B24,Sheet3!B:E,3,0)</f>
        <v>1524</v>
      </c>
      <c r="E24" s="20">
        <f>VLOOKUP(B24,Sheet3!B:E,4,0)</f>
        <v>281577</v>
      </c>
      <c r="F24" s="4"/>
    </row>
    <row r="25" spans="1:10" ht="23.1" customHeight="1" x14ac:dyDescent="0.25">
      <c r="A25" s="3">
        <v>127</v>
      </c>
      <c r="B25" s="68" t="str">
        <f>'Seating Plan'!H237</f>
        <v xml:space="preserve">BTCS24O1132 </v>
      </c>
      <c r="C25" s="20" t="str">
        <f>VLOOKUP(B25,Sheet3!B:E,2,0)</f>
        <v>SNEHA TOMAR</v>
      </c>
      <c r="D25" s="20">
        <f>VLOOKUP(B25,Sheet3!B:E,3,0)</f>
        <v>1524</v>
      </c>
      <c r="E25" s="20">
        <f>VLOOKUP(B25,Sheet3!B:E,4,0)</f>
        <v>856687</v>
      </c>
      <c r="F25" s="4"/>
    </row>
    <row r="26" spans="1:10" ht="23.1" customHeight="1" x14ac:dyDescent="0.25">
      <c r="A26" s="3">
        <v>128</v>
      </c>
      <c r="B26" s="68" t="str">
        <f>'Seating Plan'!H238</f>
        <v xml:space="preserve">BTCS24O1133 </v>
      </c>
      <c r="C26" s="20" t="str">
        <f>VLOOKUP(B26,Sheet3!B:E,2,0)</f>
        <v>SOURAV SHRIVAS</v>
      </c>
      <c r="D26" s="20">
        <f>VLOOKUP(B26,Sheet3!B:E,3,0)</f>
        <v>1524</v>
      </c>
      <c r="E26" s="20">
        <f>VLOOKUP(B26,Sheet3!B:E,4,0)</f>
        <v>189614</v>
      </c>
      <c r="F26" s="4"/>
    </row>
    <row r="27" spans="1:10" ht="23.1" customHeight="1" x14ac:dyDescent="0.25">
      <c r="A27" s="3">
        <v>129</v>
      </c>
      <c r="B27" s="68" t="str">
        <f>'Seating Plan'!H239</f>
        <v xml:space="preserve">BTCS24O1134 </v>
      </c>
      <c r="C27" s="20" t="str">
        <f>VLOOKUP(B27,Sheet3!B:E,2,0)</f>
        <v>SURAJ MALVIYA</v>
      </c>
      <c r="D27" s="20">
        <f>VLOOKUP(B27,Sheet3!B:E,3,0)</f>
        <v>1524</v>
      </c>
      <c r="E27" s="20">
        <f>VLOOKUP(B27,Sheet3!B:E,4,0)</f>
        <v>351252</v>
      </c>
      <c r="F27" s="4"/>
    </row>
    <row r="28" spans="1:10" ht="23.1" customHeight="1" x14ac:dyDescent="0.25">
      <c r="A28" s="3">
        <v>130</v>
      </c>
      <c r="B28" s="68" t="str">
        <f>'Seating Plan'!H240</f>
        <v xml:space="preserve">BTCS24O1135 </v>
      </c>
      <c r="C28" s="20" t="str">
        <f>VLOOKUP(B28,Sheet3!B:E,2,0)</f>
        <v>TANISH SHIVHARE</v>
      </c>
      <c r="D28" s="20">
        <f>VLOOKUP(B28,Sheet3!B:E,3,0)</f>
        <v>1524</v>
      </c>
      <c r="E28" s="20">
        <f>VLOOKUP(B28,Sheet3!B:E,4,0)</f>
        <v>568535</v>
      </c>
      <c r="F28" s="4"/>
    </row>
    <row r="29" spans="1:10" ht="23.1" customHeight="1" x14ac:dyDescent="0.25">
      <c r="A29" s="3">
        <v>131</v>
      </c>
      <c r="B29" s="68" t="str">
        <f>'Seating Plan'!H241</f>
        <v xml:space="preserve">BTCS24O1136 </v>
      </c>
      <c r="C29" s="20" t="str">
        <f>VLOOKUP(B29,Sheet3!B:E,2,0)</f>
        <v>TANISH TANTUWAY</v>
      </c>
      <c r="D29" s="20">
        <f>VLOOKUP(B29,Sheet3!B:E,3,0)</f>
        <v>1524</v>
      </c>
      <c r="E29" s="20">
        <f>VLOOKUP(B29,Sheet3!B:E,4,0)</f>
        <v>552181</v>
      </c>
      <c r="F29" s="4"/>
    </row>
    <row r="30" spans="1:10" ht="23.1" customHeight="1" x14ac:dyDescent="0.25">
      <c r="A30" s="3">
        <v>132</v>
      </c>
      <c r="B30" s="68" t="str">
        <f>'Seating Plan'!H242</f>
        <v xml:space="preserve">BTCS24O1137 </v>
      </c>
      <c r="C30" s="20" t="str">
        <f>VLOOKUP(B30,Sheet3!B:E,2,0)</f>
        <v>TEJASVA GUPTA</v>
      </c>
      <c r="D30" s="20">
        <f>VLOOKUP(B30,Sheet3!B:E,3,0)</f>
        <v>1524</v>
      </c>
      <c r="E30" s="20">
        <f>VLOOKUP(B30,Sheet3!B:E,4,0)</f>
        <v>957707</v>
      </c>
      <c r="F30" s="4"/>
    </row>
    <row r="31" spans="1:10" ht="23.1" customHeight="1" x14ac:dyDescent="0.25">
      <c r="A31" s="3">
        <v>133</v>
      </c>
      <c r="B31" s="68" t="str">
        <f>'Seating Plan'!H243</f>
        <v xml:space="preserve">BTCS24O1138 </v>
      </c>
      <c r="C31" s="20" t="str">
        <f>VLOOKUP(B31,Sheet3!B:E,2,0)</f>
        <v>UDAY PRATAP SINGH</v>
      </c>
      <c r="D31" s="20">
        <f>VLOOKUP(B31,Sheet3!B:E,3,0)</f>
        <v>1524</v>
      </c>
      <c r="E31" s="20">
        <f>VLOOKUP(B31,Sheet3!B:E,4,0)</f>
        <v>350705</v>
      </c>
      <c r="F31" s="4"/>
    </row>
    <row r="32" spans="1:10" ht="23.1" hidden="1" customHeight="1" x14ac:dyDescent="0.25">
      <c r="A32" s="3">
        <v>134</v>
      </c>
      <c r="B32" s="68">
        <f>'Seating Plan'!H244</f>
        <v>0</v>
      </c>
      <c r="C32" s="20" t="e">
        <f>VLOOKUP(B32,Sheet3!B:E,2,0)</f>
        <v>#N/A</v>
      </c>
      <c r="D32" s="20" t="e">
        <f>VLOOKUP(B32,Sheet3!B:E,3,0)</f>
        <v>#N/A</v>
      </c>
      <c r="E32" s="20" t="e">
        <f>VLOOKUP(B32,Sheet3!B:E,4,0)</f>
        <v>#N/A</v>
      </c>
      <c r="F32" s="4"/>
    </row>
    <row r="33" spans="1:6" ht="23.1" hidden="1" customHeight="1" x14ac:dyDescent="0.25">
      <c r="A33" s="3">
        <v>135</v>
      </c>
      <c r="B33" s="68">
        <f>'Seating Plan'!H245</f>
        <v>0</v>
      </c>
      <c r="C33" s="20" t="e">
        <f>VLOOKUP(B33,Sheet3!B:E,2,0)</f>
        <v>#N/A</v>
      </c>
      <c r="D33" s="20" t="e">
        <f>VLOOKUP(B33,Sheet3!B:E,3,0)</f>
        <v>#N/A</v>
      </c>
      <c r="E33" s="20" t="e">
        <f>VLOOKUP(B33,Sheet3!B:E,4,0)</f>
        <v>#N/A</v>
      </c>
      <c r="F33" s="4"/>
    </row>
    <row r="34" spans="1:6" customFormat="1" ht="23.1" customHeight="1" x14ac:dyDescent="0.25">
      <c r="A34" s="1" t="s">
        <v>170</v>
      </c>
      <c r="B34" s="1"/>
      <c r="C34" s="1"/>
      <c r="D34" s="1"/>
      <c r="E34" s="1"/>
      <c r="F34" s="1"/>
    </row>
    <row r="35" spans="1:6" customFormat="1" ht="23.1" customHeight="1" x14ac:dyDescent="0.25">
      <c r="A35" s="1" t="s">
        <v>171</v>
      </c>
      <c r="B35" s="1"/>
      <c r="C35" s="1"/>
      <c r="D35" s="1" t="s">
        <v>173</v>
      </c>
      <c r="E35" s="1"/>
      <c r="F35" s="1"/>
    </row>
    <row r="36" spans="1:6" customFormat="1" ht="23.1" customHeight="1" x14ac:dyDescent="0.25">
      <c r="A36" s="1"/>
      <c r="B36" s="1"/>
      <c r="C36" s="1"/>
      <c r="D36" s="1"/>
      <c r="E36" s="1"/>
      <c r="F36" s="1"/>
    </row>
    <row r="37" spans="1:6" customFormat="1" ht="23.1" customHeight="1" x14ac:dyDescent="0.25">
      <c r="A37" s="1" t="s">
        <v>172</v>
      </c>
      <c r="B37" s="1"/>
      <c r="C37" s="1"/>
      <c r="D37" s="1" t="s">
        <v>174</v>
      </c>
      <c r="E37" s="1"/>
      <c r="F37" s="1"/>
    </row>
    <row r="38" spans="1:6" customFormat="1" ht="23.1" customHeight="1" x14ac:dyDescent="0.25">
      <c r="A38" s="1"/>
      <c r="B38" s="1"/>
      <c r="C38" s="1"/>
      <c r="D38" s="1"/>
      <c r="E38" s="1"/>
      <c r="F38" s="1"/>
    </row>
  </sheetData>
  <mergeCells count="6">
    <mergeCell ref="E7:F7"/>
    <mergeCell ref="A1:F1"/>
    <mergeCell ref="A2:F2"/>
    <mergeCell ref="A3:F3"/>
    <mergeCell ref="A4:F4"/>
    <mergeCell ref="A5:F5"/>
  </mergeCells>
  <phoneticPr fontId="10" type="noConversion"/>
  <pageMargins left="0.23622047244094491" right="0.23622047244094491" top="0.55118110236220474" bottom="0.35433070866141736" header="0.31496062992125984" footer="0.31496062992125984"/>
  <pageSetup paperSize="9" scale="95" orientation="portrait" r:id="rId1"/>
  <rowBreaks count="1" manualBreakCount="1">
    <brk id="38" max="5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E30C-7E6D-463D-A0CC-6F213EBF4BE0}">
  <dimension ref="A1:G35"/>
  <sheetViews>
    <sheetView zoomScaleNormal="100" workbookViewId="0">
      <selection activeCell="A7" sqref="A7"/>
    </sheetView>
  </sheetViews>
  <sheetFormatPr defaultColWidth="8.7109375" defaultRowHeight="15" x14ac:dyDescent="0.25"/>
  <cols>
    <col min="1" max="1" width="6.42578125" style="1" customWidth="1"/>
    <col min="2" max="2" width="15.28515625" style="1" customWidth="1"/>
    <col min="3" max="3" width="23.140625" style="1" customWidth="1"/>
    <col min="4" max="5" width="12.42578125" style="1" customWidth="1"/>
    <col min="6" max="6" width="11.42578125" style="1" customWidth="1"/>
    <col min="7" max="7" width="16.28515625" style="1" customWidth="1"/>
    <col min="8" max="16384" width="8.7109375" style="1"/>
  </cols>
  <sheetData>
    <row r="1" spans="1:7" ht="20.25" x14ac:dyDescent="0.3">
      <c r="A1" s="94" t="s">
        <v>24</v>
      </c>
      <c r="B1" s="94"/>
      <c r="C1" s="94"/>
      <c r="D1" s="94"/>
      <c r="E1" s="94"/>
      <c r="F1" s="94"/>
      <c r="G1" s="94"/>
    </row>
    <row r="2" spans="1:7" ht="20.25" x14ac:dyDescent="0.3">
      <c r="A2" s="94" t="s">
        <v>25</v>
      </c>
      <c r="B2" s="94"/>
      <c r="C2" s="94"/>
      <c r="D2" s="94"/>
      <c r="E2" s="94"/>
      <c r="F2" s="94"/>
      <c r="G2" s="94"/>
    </row>
    <row r="3" spans="1:7" x14ac:dyDescent="0.25">
      <c r="A3" s="82" t="s">
        <v>20</v>
      </c>
      <c r="B3" s="82"/>
      <c r="C3" s="82"/>
      <c r="D3" s="82"/>
      <c r="E3" s="82"/>
      <c r="F3" s="82"/>
      <c r="G3" s="82"/>
    </row>
    <row r="4" spans="1:7" x14ac:dyDescent="0.25">
      <c r="A4" s="82" t="s">
        <v>21</v>
      </c>
      <c r="B4" s="82"/>
      <c r="C4" s="82"/>
      <c r="D4" s="82"/>
      <c r="E4" s="82"/>
      <c r="F4" s="82"/>
      <c r="G4" s="82"/>
    </row>
    <row r="5" spans="1:7" x14ac:dyDescent="0.25">
      <c r="A5" s="82" t="s">
        <v>10</v>
      </c>
      <c r="B5" s="82"/>
      <c r="C5" s="82"/>
      <c r="D5" s="82"/>
      <c r="E5" s="82"/>
      <c r="F5" s="82"/>
      <c r="G5" s="82"/>
    </row>
    <row r="6" spans="1:7" x14ac:dyDescent="0.25">
      <c r="A6" s="82" t="s">
        <v>0</v>
      </c>
      <c r="B6" s="82"/>
      <c r="C6" s="82"/>
      <c r="D6" s="82"/>
      <c r="E6" s="82"/>
      <c r="F6" s="82"/>
      <c r="G6" s="82"/>
    </row>
    <row r="7" spans="1:7" ht="22.5" customHeight="1" x14ac:dyDescent="0.25">
      <c r="A7" s="2" t="s">
        <v>156</v>
      </c>
      <c r="B7" s="2"/>
      <c r="C7" s="18" t="e">
        <f>VLOOKUP(D10,Sheet3!G:H,2,0)</f>
        <v>#N/A</v>
      </c>
      <c r="G7" s="10" t="str">
        <f>'Seating Plan'!D$3</f>
        <v>08.04.2026</v>
      </c>
    </row>
    <row r="8" spans="1:7" ht="21.95" customHeight="1" x14ac:dyDescent="0.25">
      <c r="G8" s="10" t="str">
        <f>'Seating Plan'!G$4</f>
        <v>Shift:I (10:00 to 11:00 AM)</v>
      </c>
    </row>
    <row r="9" spans="1:7" ht="24.6" customHeight="1" x14ac:dyDescent="0.25">
      <c r="A9" s="26" t="s">
        <v>1</v>
      </c>
      <c r="B9" s="26" t="s">
        <v>3</v>
      </c>
      <c r="C9" s="26" t="s">
        <v>2</v>
      </c>
      <c r="D9" s="26" t="s">
        <v>19</v>
      </c>
      <c r="E9" s="26" t="s">
        <v>4</v>
      </c>
      <c r="F9" s="26" t="s">
        <v>18</v>
      </c>
      <c r="G9" s="26" t="s">
        <v>5</v>
      </c>
    </row>
    <row r="10" spans="1:7" ht="24.95" customHeight="1" x14ac:dyDescent="0.25">
      <c r="A10" s="25"/>
      <c r="B10" s="68">
        <f>'Seating Plan'!F247</f>
        <v>0</v>
      </c>
      <c r="C10" s="20" t="e">
        <f>VLOOKUP(B10,Sheet3!B:E,2,0)</f>
        <v>#N/A</v>
      </c>
      <c r="D10" s="20" t="e">
        <f>VLOOKUP(B10,Sheet3!B:E,3,0)</f>
        <v>#N/A</v>
      </c>
      <c r="E10" s="20" t="e">
        <f>VLOOKUP(B10,Sheet3!B:E,4,0)</f>
        <v>#N/A</v>
      </c>
      <c r="F10" s="24" t="s">
        <v>32</v>
      </c>
      <c r="G10" s="4"/>
    </row>
    <row r="11" spans="1:7" ht="24.95" customHeight="1" x14ac:dyDescent="0.25">
      <c r="A11" s="25"/>
      <c r="B11" s="68">
        <f>'Seating Plan'!F248</f>
        <v>0</v>
      </c>
      <c r="C11" s="20" t="e">
        <f>VLOOKUP(B11,Sheet3!B:E,2,0)</f>
        <v>#N/A</v>
      </c>
      <c r="D11" s="20" t="e">
        <f>VLOOKUP(B11,Sheet3!B:E,3,0)</f>
        <v>#N/A</v>
      </c>
      <c r="E11" s="20" t="e">
        <f>VLOOKUP(B11,Sheet3!B:E,4,0)</f>
        <v>#N/A</v>
      </c>
      <c r="F11" s="24" t="s">
        <v>33</v>
      </c>
      <c r="G11" s="4"/>
    </row>
    <row r="12" spans="1:7" ht="24.95" customHeight="1" x14ac:dyDescent="0.25">
      <c r="A12" s="25"/>
      <c r="B12" s="68">
        <f>'Seating Plan'!F249</f>
        <v>0</v>
      </c>
      <c r="C12" s="20" t="e">
        <f>VLOOKUP(B12,Sheet3!B:E,2,0)</f>
        <v>#N/A</v>
      </c>
      <c r="D12" s="20" t="e">
        <f>VLOOKUP(B12,Sheet3!B:E,3,0)</f>
        <v>#N/A</v>
      </c>
      <c r="E12" s="20" t="e">
        <f>VLOOKUP(B12,Sheet3!B:E,4,0)</f>
        <v>#N/A</v>
      </c>
      <c r="F12" s="24" t="s">
        <v>34</v>
      </c>
      <c r="G12" s="4"/>
    </row>
    <row r="13" spans="1:7" ht="24.95" customHeight="1" x14ac:dyDescent="0.25">
      <c r="A13" s="25"/>
      <c r="B13" s="68">
        <f>'Seating Plan'!F250</f>
        <v>0</v>
      </c>
      <c r="C13" s="20" t="e">
        <f>VLOOKUP(B13,Sheet3!B:E,2,0)</f>
        <v>#N/A</v>
      </c>
      <c r="D13" s="20" t="e">
        <f>VLOOKUP(B13,Sheet3!B:E,3,0)</f>
        <v>#N/A</v>
      </c>
      <c r="E13" s="20" t="e">
        <f>VLOOKUP(B13,Sheet3!B:E,4,0)</f>
        <v>#N/A</v>
      </c>
      <c r="F13" s="24" t="s">
        <v>35</v>
      </c>
      <c r="G13" s="4"/>
    </row>
    <row r="14" spans="1:7" ht="24.95" customHeight="1" x14ac:dyDescent="0.25">
      <c r="A14" s="25"/>
      <c r="B14" s="68">
        <f>'Seating Plan'!F251</f>
        <v>0</v>
      </c>
      <c r="C14" s="20" t="e">
        <f>VLOOKUP(B14,Sheet3!B:E,2,0)</f>
        <v>#N/A</v>
      </c>
      <c r="D14" s="20" t="e">
        <f>VLOOKUP(B14,Sheet3!B:E,3,0)</f>
        <v>#N/A</v>
      </c>
      <c r="E14" s="20" t="e">
        <f>VLOOKUP(B14,Sheet3!B:E,4,0)</f>
        <v>#N/A</v>
      </c>
      <c r="F14" s="24" t="s">
        <v>36</v>
      </c>
      <c r="G14" s="4"/>
    </row>
    <row r="15" spans="1:7" ht="24.95" customHeight="1" x14ac:dyDescent="0.25">
      <c r="A15" s="25"/>
      <c r="B15" s="68">
        <f>'Seating Plan'!F252</f>
        <v>0</v>
      </c>
      <c r="C15" s="20" t="e">
        <f>VLOOKUP(B15,Sheet3!B:E,2,0)</f>
        <v>#N/A</v>
      </c>
      <c r="D15" s="20" t="e">
        <f>VLOOKUP(B15,Sheet3!B:E,3,0)</f>
        <v>#N/A</v>
      </c>
      <c r="E15" s="20" t="e">
        <f>VLOOKUP(B15,Sheet3!B:E,4,0)</f>
        <v>#N/A</v>
      </c>
      <c r="F15" s="24" t="s">
        <v>37</v>
      </c>
      <c r="G15" s="4"/>
    </row>
    <row r="16" spans="1:7" ht="24.95" customHeight="1" x14ac:dyDescent="0.25">
      <c r="A16" s="25"/>
      <c r="B16" s="68">
        <f>'Seating Plan'!F253</f>
        <v>0</v>
      </c>
      <c r="C16" s="20" t="e">
        <f>VLOOKUP(B16,Sheet3!B:E,2,0)</f>
        <v>#N/A</v>
      </c>
      <c r="D16" s="20" t="e">
        <f>VLOOKUP(B16,Sheet3!B:E,3,0)</f>
        <v>#N/A</v>
      </c>
      <c r="E16" s="20" t="e">
        <f>VLOOKUP(B16,Sheet3!B:E,4,0)</f>
        <v>#N/A</v>
      </c>
      <c r="F16" s="24" t="s">
        <v>38</v>
      </c>
      <c r="G16" s="4"/>
    </row>
    <row r="17" spans="1:7" ht="24.95" customHeight="1" x14ac:dyDescent="0.25">
      <c r="A17" s="3"/>
      <c r="B17" s="68">
        <f>'Seating Plan'!F254</f>
        <v>0</v>
      </c>
      <c r="C17" s="20" t="e">
        <f>VLOOKUP(B17,Sheet3!B:E,2,0)</f>
        <v>#N/A</v>
      </c>
      <c r="D17" s="20" t="e">
        <f>VLOOKUP(B17,Sheet3!B:E,3,0)</f>
        <v>#N/A</v>
      </c>
      <c r="E17" s="20" t="e">
        <f>VLOOKUP(B17,Sheet3!B:E,4,0)</f>
        <v>#N/A</v>
      </c>
      <c r="F17" s="24" t="s">
        <v>39</v>
      </c>
      <c r="G17" s="4"/>
    </row>
    <row r="20" spans="1:7" ht="20.25" x14ac:dyDescent="0.3">
      <c r="A20" s="94" t="s">
        <v>24</v>
      </c>
      <c r="B20" s="94"/>
      <c r="C20" s="94"/>
      <c r="D20" s="94"/>
      <c r="E20" s="94"/>
      <c r="F20" s="94"/>
      <c r="G20" s="94"/>
    </row>
    <row r="21" spans="1:7" ht="20.25" x14ac:dyDescent="0.3">
      <c r="A21" s="94" t="s">
        <v>25</v>
      </c>
      <c r="B21" s="94"/>
      <c r="C21" s="94"/>
      <c r="D21" s="94"/>
      <c r="E21" s="94"/>
      <c r="F21" s="94"/>
      <c r="G21" s="94"/>
    </row>
    <row r="22" spans="1:7" x14ac:dyDescent="0.25">
      <c r="A22" s="82" t="s">
        <v>20</v>
      </c>
      <c r="B22" s="82"/>
      <c r="C22" s="82"/>
      <c r="D22" s="82"/>
      <c r="E22" s="82"/>
      <c r="F22" s="82"/>
      <c r="G22" s="82"/>
    </row>
    <row r="23" spans="1:7" x14ac:dyDescent="0.25">
      <c r="A23" s="82" t="s">
        <v>21</v>
      </c>
      <c r="B23" s="82"/>
      <c r="C23" s="82"/>
      <c r="D23" s="82"/>
      <c r="E23" s="82"/>
      <c r="F23" s="82"/>
      <c r="G23" s="82"/>
    </row>
    <row r="24" spans="1:7" x14ac:dyDescent="0.25">
      <c r="A24" s="82" t="s">
        <v>10</v>
      </c>
      <c r="B24" s="82"/>
      <c r="C24" s="82"/>
      <c r="D24" s="82"/>
      <c r="E24" s="82"/>
      <c r="F24" s="82"/>
      <c r="G24" s="82"/>
    </row>
    <row r="25" spans="1:7" x14ac:dyDescent="0.25">
      <c r="A25" s="82" t="s">
        <v>0</v>
      </c>
      <c r="B25" s="82"/>
      <c r="C25" s="82"/>
      <c r="D25" s="82"/>
      <c r="E25" s="82"/>
      <c r="F25" s="82"/>
      <c r="G25" s="82"/>
    </row>
    <row r="26" spans="1:7" x14ac:dyDescent="0.25">
      <c r="A26" s="2" t="s">
        <v>156</v>
      </c>
      <c r="B26" s="2"/>
      <c r="C26" s="18" t="e">
        <f>VLOOKUP(D29,Sheet3!G:H,2,0)</f>
        <v>#N/A</v>
      </c>
      <c r="G26" s="10" t="str">
        <f>'Seating Plan'!D$3</f>
        <v>08.04.2026</v>
      </c>
    </row>
    <row r="27" spans="1:7" x14ac:dyDescent="0.25">
      <c r="G27" s="10" t="str">
        <f>'Seating Plan'!G$4</f>
        <v>Shift:I (10:00 to 11:00 AM)</v>
      </c>
    </row>
    <row r="28" spans="1:7" s="27" customFormat="1" ht="23.25" customHeight="1" x14ac:dyDescent="0.25">
      <c r="A28" s="26" t="s">
        <v>1</v>
      </c>
      <c r="B28" s="26" t="s">
        <v>3</v>
      </c>
      <c r="C28" s="26" t="s">
        <v>2</v>
      </c>
      <c r="D28" s="26" t="s">
        <v>19</v>
      </c>
      <c r="E28" s="26" t="s">
        <v>4</v>
      </c>
      <c r="F28" s="26" t="s">
        <v>18</v>
      </c>
      <c r="G28" s="26" t="s">
        <v>5</v>
      </c>
    </row>
    <row r="29" spans="1:7" ht="32.25" customHeight="1" x14ac:dyDescent="0.25">
      <c r="A29" s="25"/>
      <c r="B29" s="68">
        <f>'Seating Plan'!H247</f>
        <v>0</v>
      </c>
      <c r="C29" s="20" t="e">
        <f>VLOOKUP(B29,Sheet3!B:E,2,0)</f>
        <v>#N/A</v>
      </c>
      <c r="D29" s="20" t="e">
        <f>VLOOKUP(B29,Sheet3!B:E,3,0)</f>
        <v>#N/A</v>
      </c>
      <c r="E29" s="20" t="e">
        <f>VLOOKUP(B29,Sheet3!B:E,4,0)</f>
        <v>#N/A</v>
      </c>
      <c r="F29" s="24" t="s">
        <v>47</v>
      </c>
      <c r="G29" s="4"/>
    </row>
    <row r="30" spans="1:7" ht="24.95" customHeight="1" x14ac:dyDescent="0.25">
      <c r="A30" s="25"/>
      <c r="B30" s="68">
        <f>'Seating Plan'!H248</f>
        <v>0</v>
      </c>
      <c r="C30" s="20" t="e">
        <f>VLOOKUP(B30,Sheet3!B:E,2,0)</f>
        <v>#N/A</v>
      </c>
      <c r="D30" s="20" t="e">
        <f>VLOOKUP(B30,Sheet3!B:E,3,0)</f>
        <v>#N/A</v>
      </c>
      <c r="E30" s="20" t="e">
        <f>VLOOKUP(B30,Sheet3!B:E,4,0)</f>
        <v>#N/A</v>
      </c>
      <c r="F30" s="24" t="s">
        <v>48</v>
      </c>
      <c r="G30" s="4"/>
    </row>
    <row r="31" spans="1:7" ht="24.95" customHeight="1" x14ac:dyDescent="0.25">
      <c r="A31" s="25"/>
      <c r="B31" s="68">
        <f>'Seating Plan'!H249</f>
        <v>0</v>
      </c>
      <c r="C31" s="20" t="e">
        <f>VLOOKUP(B31,Sheet3!B:E,2,0)</f>
        <v>#N/A</v>
      </c>
      <c r="D31" s="20" t="e">
        <f>VLOOKUP(B31,Sheet3!B:E,3,0)</f>
        <v>#N/A</v>
      </c>
      <c r="E31" s="20" t="e">
        <f>VLOOKUP(B31,Sheet3!B:E,4,0)</f>
        <v>#N/A</v>
      </c>
      <c r="F31" s="24" t="s">
        <v>49</v>
      </c>
      <c r="G31" s="4"/>
    </row>
    <row r="32" spans="1:7" ht="24.95" customHeight="1" x14ac:dyDescent="0.25">
      <c r="A32" s="25"/>
      <c r="B32" s="68">
        <f>'Seating Plan'!H250</f>
        <v>0</v>
      </c>
      <c r="C32" s="20" t="e">
        <f>VLOOKUP(B32,Sheet3!B:E,2,0)</f>
        <v>#N/A</v>
      </c>
      <c r="D32" s="20" t="e">
        <f>VLOOKUP(B32,Sheet3!B:E,3,0)</f>
        <v>#N/A</v>
      </c>
      <c r="E32" s="20" t="e">
        <f>VLOOKUP(B32,Sheet3!B:E,4,0)</f>
        <v>#N/A</v>
      </c>
      <c r="F32" s="24" t="s">
        <v>50</v>
      </c>
      <c r="G32" s="4"/>
    </row>
    <row r="33" spans="1:7" ht="24.95" customHeight="1" x14ac:dyDescent="0.25">
      <c r="A33" s="25"/>
      <c r="B33" s="68">
        <f>'Seating Plan'!H251</f>
        <v>0</v>
      </c>
      <c r="C33" s="20" t="e">
        <f>VLOOKUP(B33,Sheet3!B:E,2,0)</f>
        <v>#N/A</v>
      </c>
      <c r="D33" s="20" t="e">
        <f>VLOOKUP(B33,Sheet3!B:E,3,0)</f>
        <v>#N/A</v>
      </c>
      <c r="E33" s="20" t="e">
        <f>VLOOKUP(B33,Sheet3!B:E,4,0)</f>
        <v>#N/A</v>
      </c>
      <c r="F33" s="24" t="s">
        <v>51</v>
      </c>
      <c r="G33" s="4"/>
    </row>
    <row r="34" spans="1:7" ht="24.95" customHeight="1" x14ac:dyDescent="0.25">
      <c r="A34" s="25"/>
      <c r="B34" s="68">
        <f>'Seating Plan'!H252</f>
        <v>0</v>
      </c>
      <c r="C34" s="20" t="e">
        <f>VLOOKUP(B34,Sheet3!B:E,2,0)</f>
        <v>#N/A</v>
      </c>
      <c r="D34" s="20" t="e">
        <f>VLOOKUP(B34,Sheet3!B:E,3,0)</f>
        <v>#N/A</v>
      </c>
      <c r="E34" s="20" t="e">
        <f>VLOOKUP(B34,Sheet3!B:E,4,0)</f>
        <v>#N/A</v>
      </c>
      <c r="F34" s="24" t="s">
        <v>46</v>
      </c>
      <c r="G34" s="4"/>
    </row>
    <row r="35" spans="1:7" ht="24.95" customHeight="1" x14ac:dyDescent="0.25">
      <c r="A35" s="25"/>
      <c r="B35" s="68">
        <f>'Seating Plan'!H253</f>
        <v>0</v>
      </c>
      <c r="C35" s="20" t="e">
        <f>VLOOKUP(B35,Sheet3!B:E,2,0)</f>
        <v>#N/A</v>
      </c>
      <c r="D35" s="20" t="e">
        <f>VLOOKUP(B35,Sheet3!B:E,3,0)</f>
        <v>#N/A</v>
      </c>
      <c r="E35" s="20" t="e">
        <f>VLOOKUP(B35,Sheet3!B:E,4,0)</f>
        <v>#N/A</v>
      </c>
      <c r="F35" s="24" t="s">
        <v>52</v>
      </c>
      <c r="G35" s="4"/>
    </row>
  </sheetData>
  <mergeCells count="12">
    <mergeCell ref="A25:G25"/>
    <mergeCell ref="A1:G1"/>
    <mergeCell ref="A2:G2"/>
    <mergeCell ref="A3:G3"/>
    <mergeCell ref="A4:G4"/>
    <mergeCell ref="A5:G5"/>
    <mergeCell ref="A6:G6"/>
    <mergeCell ref="A20:G20"/>
    <mergeCell ref="A21:G21"/>
    <mergeCell ref="A22:G22"/>
    <mergeCell ref="A23:G23"/>
    <mergeCell ref="A24:G24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orientation="portrait" r:id="rId1"/>
  <headerFooter>
    <oddFooter>&amp;L
Technical Staff  Name and Signature&amp;C
Total Present:
Total Absent:&amp;R
Invigilator Name and Sign
Invigilator Name and Sign</oddFooter>
  </headerFooter>
  <rowBreaks count="1" manualBreakCount="1">
    <brk id="1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36C7-2EC8-42D4-B9F6-4C366008EA81}">
  <dimension ref="A1:G53"/>
  <sheetViews>
    <sheetView zoomScaleNormal="100" workbookViewId="0">
      <selection activeCell="A7" sqref="A7"/>
    </sheetView>
  </sheetViews>
  <sheetFormatPr defaultColWidth="8.7109375" defaultRowHeight="15" x14ac:dyDescent="0.25"/>
  <cols>
    <col min="1" max="1" width="5.7109375" style="1" customWidth="1"/>
    <col min="2" max="2" width="15.85546875" style="1" customWidth="1"/>
    <col min="3" max="3" width="25.28515625" style="1" customWidth="1"/>
    <col min="4" max="4" width="12.42578125" style="1" customWidth="1"/>
    <col min="5" max="5" width="11.7109375" style="1" customWidth="1"/>
    <col min="6" max="6" width="11.140625" style="1" customWidth="1"/>
    <col min="7" max="7" width="16.7109375" style="1" customWidth="1"/>
    <col min="8" max="16384" width="8.7109375" style="1"/>
  </cols>
  <sheetData>
    <row r="1" spans="1:7" ht="20.25" x14ac:dyDescent="0.3">
      <c r="A1" s="94" t="s">
        <v>24</v>
      </c>
      <c r="B1" s="94"/>
      <c r="C1" s="94"/>
      <c r="D1" s="94"/>
      <c r="E1" s="94"/>
      <c r="F1" s="94"/>
      <c r="G1" s="94"/>
    </row>
    <row r="2" spans="1:7" ht="20.25" x14ac:dyDescent="0.3">
      <c r="A2" s="94" t="s">
        <v>25</v>
      </c>
      <c r="B2" s="94"/>
      <c r="C2" s="94"/>
      <c r="D2" s="94"/>
      <c r="E2" s="94"/>
      <c r="F2" s="94"/>
      <c r="G2" s="94"/>
    </row>
    <row r="3" spans="1:7" x14ac:dyDescent="0.25">
      <c r="A3" s="82" t="s">
        <v>20</v>
      </c>
      <c r="B3" s="82"/>
      <c r="C3" s="82"/>
      <c r="D3" s="82"/>
      <c r="E3" s="82"/>
      <c r="F3" s="82"/>
      <c r="G3" s="82"/>
    </row>
    <row r="4" spans="1:7" x14ac:dyDescent="0.25">
      <c r="A4" s="82" t="s">
        <v>21</v>
      </c>
      <c r="B4" s="82"/>
      <c r="C4" s="82"/>
      <c r="D4" s="82"/>
      <c r="E4" s="82"/>
      <c r="F4" s="82"/>
      <c r="G4" s="82"/>
    </row>
    <row r="5" spans="1:7" x14ac:dyDescent="0.25">
      <c r="A5" s="82" t="s">
        <v>17</v>
      </c>
      <c r="B5" s="82"/>
      <c r="C5" s="82"/>
      <c r="D5" s="82"/>
      <c r="E5" s="82"/>
      <c r="F5" s="82"/>
      <c r="G5" s="82"/>
    </row>
    <row r="6" spans="1:7" x14ac:dyDescent="0.25">
      <c r="A6" s="82" t="s">
        <v>0</v>
      </c>
      <c r="B6" s="82"/>
      <c r="C6" s="82"/>
      <c r="D6" s="82"/>
      <c r="E6" s="82"/>
      <c r="F6" s="82"/>
      <c r="G6" s="82"/>
    </row>
    <row r="7" spans="1:7" ht="22.5" customHeight="1" x14ac:dyDescent="0.25">
      <c r="A7" s="2" t="s">
        <v>156</v>
      </c>
      <c r="B7" s="2"/>
      <c r="C7" s="18" t="e">
        <f>VLOOKUP(D10,Sheet3!G:H,2,0)</f>
        <v>#N/A</v>
      </c>
      <c r="G7" s="10" t="str">
        <f>'Seating Plan'!D$3</f>
        <v>08.04.2026</v>
      </c>
    </row>
    <row r="8" spans="1:7" ht="21.95" customHeight="1" x14ac:dyDescent="0.25">
      <c r="G8" s="10" t="str">
        <f>'Seating Plan'!G$4</f>
        <v>Shift:I (10:00 to 11:00 AM)</v>
      </c>
    </row>
    <row r="9" spans="1:7" ht="24.6" customHeight="1" x14ac:dyDescent="0.25">
      <c r="A9" s="26" t="s">
        <v>1</v>
      </c>
      <c r="B9" s="26" t="s">
        <v>3</v>
      </c>
      <c r="C9" s="26" t="s">
        <v>2</v>
      </c>
      <c r="D9" s="26" t="s">
        <v>19</v>
      </c>
      <c r="E9" s="26" t="s">
        <v>4</v>
      </c>
      <c r="F9" s="26" t="s">
        <v>18</v>
      </c>
      <c r="G9" s="26" t="s">
        <v>5</v>
      </c>
    </row>
    <row r="10" spans="1:7" ht="24.95" customHeight="1" x14ac:dyDescent="0.25">
      <c r="A10" s="3"/>
      <c r="B10" s="68">
        <f>'Seating Plan'!F255</f>
        <v>0</v>
      </c>
      <c r="C10" s="20" t="e">
        <f>VLOOKUP(B10,Sheet3!B:E,2,0)</f>
        <v>#N/A</v>
      </c>
      <c r="D10" s="20" t="e">
        <f>VLOOKUP(B10,Sheet3!B:E,3,0)</f>
        <v>#N/A</v>
      </c>
      <c r="E10" s="20" t="e">
        <f>VLOOKUP(B10,Sheet3!B:E,4,0)</f>
        <v>#N/A</v>
      </c>
      <c r="F10" s="9" t="s">
        <v>32</v>
      </c>
      <c r="G10" s="4"/>
    </row>
    <row r="11" spans="1:7" ht="24.95" customHeight="1" x14ac:dyDescent="0.25">
      <c r="A11" s="3"/>
      <c r="B11" s="68">
        <f>'Seating Plan'!F256</f>
        <v>0</v>
      </c>
      <c r="C11" s="20" t="e">
        <f>VLOOKUP(B11,Sheet3!B:E,2,0)</f>
        <v>#N/A</v>
      </c>
      <c r="D11" s="20" t="e">
        <f>VLOOKUP(B11,Sheet3!B:E,3,0)</f>
        <v>#N/A</v>
      </c>
      <c r="E11" s="20" t="e">
        <f>VLOOKUP(B11,Sheet3!B:E,4,0)</f>
        <v>#N/A</v>
      </c>
      <c r="F11" s="9" t="s">
        <v>33</v>
      </c>
      <c r="G11" s="4"/>
    </row>
    <row r="12" spans="1:7" ht="24.95" customHeight="1" x14ac:dyDescent="0.25">
      <c r="A12" s="3"/>
      <c r="B12" s="68">
        <f>'Seating Plan'!F257</f>
        <v>0</v>
      </c>
      <c r="C12" s="20" t="e">
        <f>VLOOKUP(B12,Sheet3!B:E,2,0)</f>
        <v>#N/A</v>
      </c>
      <c r="D12" s="20" t="e">
        <f>VLOOKUP(B12,Sheet3!B:E,3,0)</f>
        <v>#N/A</v>
      </c>
      <c r="E12" s="20" t="e">
        <f>VLOOKUP(B12,Sheet3!B:E,4,0)</f>
        <v>#N/A</v>
      </c>
      <c r="F12" s="9" t="s">
        <v>34</v>
      </c>
      <c r="G12" s="4"/>
    </row>
    <row r="13" spans="1:7" ht="24.95" customHeight="1" x14ac:dyDescent="0.25">
      <c r="A13" s="3"/>
      <c r="B13" s="68">
        <f>'Seating Plan'!F258</f>
        <v>0</v>
      </c>
      <c r="C13" s="20" t="e">
        <f>VLOOKUP(B13,Sheet3!B:E,2,0)</f>
        <v>#N/A</v>
      </c>
      <c r="D13" s="20" t="e">
        <f>VLOOKUP(B13,Sheet3!B:E,3,0)</f>
        <v>#N/A</v>
      </c>
      <c r="E13" s="20" t="e">
        <f>VLOOKUP(B13,Sheet3!B:E,4,0)</f>
        <v>#N/A</v>
      </c>
      <c r="F13" s="9" t="s">
        <v>35</v>
      </c>
      <c r="G13" s="4"/>
    </row>
    <row r="14" spans="1:7" ht="24.95" customHeight="1" x14ac:dyDescent="0.25">
      <c r="A14" s="3"/>
      <c r="B14" s="68">
        <f>'Seating Plan'!F259</f>
        <v>0</v>
      </c>
      <c r="C14" s="20" t="e">
        <f>VLOOKUP(B14,Sheet3!B:E,2,0)</f>
        <v>#N/A</v>
      </c>
      <c r="D14" s="20" t="e">
        <f>VLOOKUP(B14,Sheet3!B:E,3,0)</f>
        <v>#N/A</v>
      </c>
      <c r="E14" s="20" t="e">
        <f>VLOOKUP(B14,Sheet3!B:E,4,0)</f>
        <v>#N/A</v>
      </c>
      <c r="F14" s="9" t="s">
        <v>36</v>
      </c>
      <c r="G14" s="4"/>
    </row>
    <row r="15" spans="1:7" ht="24.95" customHeight="1" x14ac:dyDescent="0.25">
      <c r="A15" s="3"/>
      <c r="B15" s="68">
        <f>'Seating Plan'!F260</f>
        <v>0</v>
      </c>
      <c r="C15" s="20" t="e">
        <f>VLOOKUP(B15,Sheet3!B:E,2,0)</f>
        <v>#N/A</v>
      </c>
      <c r="D15" s="20" t="e">
        <f>VLOOKUP(B15,Sheet3!B:E,3,0)</f>
        <v>#N/A</v>
      </c>
      <c r="E15" s="20" t="e">
        <f>VLOOKUP(B15,Sheet3!B:E,4,0)</f>
        <v>#N/A</v>
      </c>
      <c r="F15" s="9" t="s">
        <v>37</v>
      </c>
      <c r="G15" s="4"/>
    </row>
    <row r="16" spans="1:7" ht="24.95" customHeight="1" x14ac:dyDescent="0.25">
      <c r="A16" s="3"/>
      <c r="B16" s="68">
        <f>'Seating Plan'!F261</f>
        <v>0</v>
      </c>
      <c r="C16" s="20" t="e">
        <f>VLOOKUP(B16,Sheet3!B:E,2,0)</f>
        <v>#N/A</v>
      </c>
      <c r="D16" s="20" t="e">
        <f>VLOOKUP(B16,Sheet3!B:E,3,0)</f>
        <v>#N/A</v>
      </c>
      <c r="E16" s="20" t="e">
        <f>VLOOKUP(B16,Sheet3!B:E,4,0)</f>
        <v>#N/A</v>
      </c>
      <c r="F16" s="9" t="s">
        <v>38</v>
      </c>
      <c r="G16" s="4"/>
    </row>
    <row r="17" spans="1:7" ht="24.95" customHeight="1" x14ac:dyDescent="0.25">
      <c r="A17" s="3"/>
      <c r="B17" s="68">
        <f>'Seating Plan'!F262</f>
        <v>0</v>
      </c>
      <c r="C17" s="20" t="e">
        <f>VLOOKUP(B17,Sheet3!B:E,2,0)</f>
        <v>#N/A</v>
      </c>
      <c r="D17" s="20" t="e">
        <f>VLOOKUP(B17,Sheet3!B:E,3,0)</f>
        <v>#N/A</v>
      </c>
      <c r="E17" s="20" t="e">
        <f>VLOOKUP(B17,Sheet3!B:E,4,0)</f>
        <v>#N/A</v>
      </c>
      <c r="F17" s="9" t="s">
        <v>39</v>
      </c>
      <c r="G17" s="4"/>
    </row>
    <row r="18" spans="1:7" ht="24.95" customHeight="1" x14ac:dyDescent="0.25">
      <c r="A18" s="3"/>
      <c r="B18" s="68">
        <f>'Seating Plan'!F263</f>
        <v>0</v>
      </c>
      <c r="C18" s="20" t="e">
        <f>VLOOKUP(B18,Sheet3!B:E,2,0)</f>
        <v>#N/A</v>
      </c>
      <c r="D18" s="20" t="e">
        <f>VLOOKUP(B18,Sheet3!B:E,3,0)</f>
        <v>#N/A</v>
      </c>
      <c r="E18" s="20" t="e">
        <f>VLOOKUP(B18,Sheet3!B:E,4,0)</f>
        <v>#N/A</v>
      </c>
      <c r="F18" s="9" t="s">
        <v>40</v>
      </c>
      <c r="G18" s="4"/>
    </row>
    <row r="19" spans="1:7" ht="24.95" customHeight="1" x14ac:dyDescent="0.25">
      <c r="A19" s="3"/>
      <c r="B19" s="68">
        <f>'Seating Plan'!F264</f>
        <v>0</v>
      </c>
      <c r="C19" s="20" t="e">
        <f>VLOOKUP(B19,Sheet3!B:E,2,0)</f>
        <v>#N/A</v>
      </c>
      <c r="D19" s="20" t="e">
        <f>VLOOKUP(B19,Sheet3!B:E,3,0)</f>
        <v>#N/A</v>
      </c>
      <c r="E19" s="20" t="e">
        <f>VLOOKUP(B19,Sheet3!B:E,4,0)</f>
        <v>#N/A</v>
      </c>
      <c r="F19" s="9" t="s">
        <v>41</v>
      </c>
      <c r="G19" s="4"/>
    </row>
    <row r="20" spans="1:7" ht="24.95" customHeight="1" x14ac:dyDescent="0.25">
      <c r="A20" s="3"/>
      <c r="B20" s="68">
        <f>'Seating Plan'!F265</f>
        <v>0</v>
      </c>
      <c r="C20" s="20" t="e">
        <f>VLOOKUP(B20,Sheet3!B:E,2,0)</f>
        <v>#N/A</v>
      </c>
      <c r="D20" s="20" t="e">
        <f>VLOOKUP(B20,Sheet3!B:E,3,0)</f>
        <v>#N/A</v>
      </c>
      <c r="E20" s="20" t="e">
        <f>VLOOKUP(B20,Sheet3!B:E,4,0)</f>
        <v>#N/A</v>
      </c>
      <c r="F20" s="9" t="s">
        <v>42</v>
      </c>
      <c r="G20" s="4"/>
    </row>
    <row r="21" spans="1:7" ht="24.95" customHeight="1" x14ac:dyDescent="0.25">
      <c r="A21" s="3"/>
      <c r="B21" s="68">
        <f>'Seating Plan'!F266</f>
        <v>0</v>
      </c>
      <c r="C21" s="20" t="e">
        <f>VLOOKUP(B21,Sheet3!B:E,2,0)</f>
        <v>#N/A</v>
      </c>
      <c r="D21" s="20" t="e">
        <f>VLOOKUP(B21,Sheet3!B:E,3,0)</f>
        <v>#N/A</v>
      </c>
      <c r="E21" s="20" t="e">
        <f>VLOOKUP(B21,Sheet3!B:E,4,0)</f>
        <v>#N/A</v>
      </c>
      <c r="F21" s="9" t="s">
        <v>43</v>
      </c>
      <c r="G21" s="4"/>
    </row>
    <row r="22" spans="1:7" ht="24.95" customHeight="1" x14ac:dyDescent="0.25">
      <c r="A22" s="3"/>
      <c r="B22" s="68">
        <f>'Seating Plan'!F267</f>
        <v>0</v>
      </c>
      <c r="C22" s="20" t="e">
        <f>VLOOKUP(B22,Sheet3!B:E,2,0)</f>
        <v>#N/A</v>
      </c>
      <c r="D22" s="20" t="e">
        <f>VLOOKUP(B22,Sheet3!B:E,3,0)</f>
        <v>#N/A</v>
      </c>
      <c r="E22" s="20" t="e">
        <f>VLOOKUP(B22,Sheet3!B:E,4,0)</f>
        <v>#N/A</v>
      </c>
      <c r="F22" s="9" t="s">
        <v>44</v>
      </c>
      <c r="G22" s="4"/>
    </row>
    <row r="23" spans="1:7" ht="24.95" customHeight="1" x14ac:dyDescent="0.25">
      <c r="A23" s="3"/>
      <c r="B23" s="68">
        <f>'Seating Plan'!F268</f>
        <v>0</v>
      </c>
      <c r="C23" s="20" t="e">
        <f>VLOOKUP(B23,Sheet3!B:E,2,0)</f>
        <v>#N/A</v>
      </c>
      <c r="D23" s="20" t="e">
        <f>VLOOKUP(B23,Sheet3!B:E,3,0)</f>
        <v>#N/A</v>
      </c>
      <c r="E23" s="20" t="e">
        <f>VLOOKUP(B23,Sheet3!B:E,4,0)</f>
        <v>#N/A</v>
      </c>
      <c r="F23" s="9" t="s">
        <v>45</v>
      </c>
      <c r="G23" s="4"/>
    </row>
    <row r="24" spans="1:7" ht="24.95" hidden="1" customHeight="1" x14ac:dyDescent="0.25">
      <c r="A24" s="3">
        <v>15</v>
      </c>
      <c r="B24" s="68">
        <f>'Seating Plan'!F269</f>
        <v>0</v>
      </c>
      <c r="C24" s="8"/>
      <c r="D24" s="9"/>
      <c r="E24" s="9"/>
      <c r="F24" s="9"/>
      <c r="G24" s="4"/>
    </row>
    <row r="25" spans="1:7" ht="24.95" hidden="1" customHeight="1" x14ac:dyDescent="0.25">
      <c r="A25" s="3">
        <v>16</v>
      </c>
      <c r="B25" s="68">
        <f>'Seating Plan'!F270</f>
        <v>0</v>
      </c>
      <c r="C25" s="8"/>
      <c r="D25" s="9"/>
      <c r="E25" s="9"/>
      <c r="F25" s="9"/>
      <c r="G25" s="4"/>
    </row>
    <row r="29" spans="1:7" ht="20.25" x14ac:dyDescent="0.3">
      <c r="A29" s="94" t="s">
        <v>24</v>
      </c>
      <c r="B29" s="94"/>
      <c r="C29" s="94"/>
      <c r="D29" s="94"/>
      <c r="E29" s="94"/>
      <c r="F29" s="94"/>
      <c r="G29" s="94"/>
    </row>
    <row r="30" spans="1:7" ht="20.25" x14ac:dyDescent="0.3">
      <c r="A30" s="94" t="s">
        <v>25</v>
      </c>
      <c r="B30" s="94"/>
      <c r="C30" s="94"/>
      <c r="D30" s="94"/>
      <c r="E30" s="94"/>
      <c r="F30" s="94"/>
      <c r="G30" s="94"/>
    </row>
    <row r="31" spans="1:7" x14ac:dyDescent="0.25">
      <c r="A31" s="82" t="s">
        <v>20</v>
      </c>
      <c r="B31" s="82"/>
      <c r="C31" s="82"/>
      <c r="D31" s="82"/>
      <c r="E31" s="82"/>
      <c r="F31" s="82"/>
      <c r="G31" s="82"/>
    </row>
    <row r="32" spans="1:7" x14ac:dyDescent="0.25">
      <c r="A32" s="82" t="s">
        <v>21</v>
      </c>
      <c r="B32" s="82"/>
      <c r="C32" s="82"/>
      <c r="D32" s="82"/>
      <c r="E32" s="82"/>
      <c r="F32" s="82"/>
      <c r="G32" s="82"/>
    </row>
    <row r="33" spans="1:7" x14ac:dyDescent="0.25">
      <c r="A33" s="82" t="s">
        <v>17</v>
      </c>
      <c r="B33" s="82"/>
      <c r="C33" s="82"/>
      <c r="D33" s="82"/>
      <c r="E33" s="82"/>
      <c r="F33" s="82"/>
      <c r="G33" s="82"/>
    </row>
    <row r="34" spans="1:7" x14ac:dyDescent="0.25">
      <c r="A34" s="82" t="s">
        <v>0</v>
      </c>
      <c r="B34" s="82"/>
      <c r="C34" s="82"/>
      <c r="D34" s="82"/>
      <c r="E34" s="82"/>
      <c r="F34" s="82"/>
      <c r="G34" s="82"/>
    </row>
    <row r="35" spans="1:7" x14ac:dyDescent="0.25">
      <c r="A35" s="2" t="s">
        <v>156</v>
      </c>
      <c r="B35" s="2"/>
      <c r="C35" s="18" t="e">
        <f>VLOOKUP(D38,Sheet3!G:H,2,0)</f>
        <v>#N/A</v>
      </c>
      <c r="G35" s="10" t="str">
        <f>'Seating Plan'!D$3</f>
        <v>08.04.2026</v>
      </c>
    </row>
    <row r="36" spans="1:7" x14ac:dyDescent="0.25">
      <c r="G36" s="10" t="str">
        <f>'Seating Plan'!G$4</f>
        <v>Shift:I (10:00 to 11:00 AM)</v>
      </c>
    </row>
    <row r="37" spans="1:7" ht="21" customHeight="1" x14ac:dyDescent="0.25">
      <c r="A37" s="26" t="s">
        <v>1</v>
      </c>
      <c r="B37" s="26" t="s">
        <v>3</v>
      </c>
      <c r="C37" s="26" t="s">
        <v>2</v>
      </c>
      <c r="D37" s="26" t="s">
        <v>19</v>
      </c>
      <c r="E37" s="26" t="s">
        <v>4</v>
      </c>
      <c r="F37" s="26" t="s">
        <v>18</v>
      </c>
      <c r="G37" s="26" t="s">
        <v>5</v>
      </c>
    </row>
    <row r="38" spans="1:7" ht="24.95" customHeight="1" x14ac:dyDescent="0.25">
      <c r="A38" s="3"/>
      <c r="B38" s="68">
        <f>'Seating Plan'!H255</f>
        <v>0</v>
      </c>
      <c r="C38" s="20" t="e">
        <f>VLOOKUP(B38,Sheet3!B:E,2,0)</f>
        <v>#N/A</v>
      </c>
      <c r="D38" s="20" t="e">
        <f>VLOOKUP(B38,Sheet3!B:E,3,0)</f>
        <v>#N/A</v>
      </c>
      <c r="E38" s="20" t="e">
        <f>VLOOKUP(B38,Sheet3!B:E,4,0)</f>
        <v>#N/A</v>
      </c>
      <c r="F38" s="3" t="s">
        <v>47</v>
      </c>
      <c r="G38" s="4"/>
    </row>
    <row r="39" spans="1:7" ht="24.95" customHeight="1" x14ac:dyDescent="0.25">
      <c r="A39" s="3"/>
      <c r="B39" s="68">
        <f>'Seating Plan'!H256</f>
        <v>0</v>
      </c>
      <c r="C39" s="20" t="e">
        <f>VLOOKUP(B39,Sheet3!B:E,2,0)</f>
        <v>#N/A</v>
      </c>
      <c r="D39" s="20" t="e">
        <f>VLOOKUP(B39,Sheet3!B:E,3,0)</f>
        <v>#N/A</v>
      </c>
      <c r="E39" s="20" t="e">
        <f>VLOOKUP(B39,Sheet3!B:E,4,0)</f>
        <v>#N/A</v>
      </c>
      <c r="F39" s="3" t="s">
        <v>48</v>
      </c>
      <c r="G39" s="4"/>
    </row>
    <row r="40" spans="1:7" ht="24.95" customHeight="1" x14ac:dyDescent="0.25">
      <c r="A40" s="3"/>
      <c r="B40" s="68">
        <f>'Seating Plan'!H257</f>
        <v>0</v>
      </c>
      <c r="C40" s="20" t="e">
        <f>VLOOKUP(B40,Sheet3!B:E,2,0)</f>
        <v>#N/A</v>
      </c>
      <c r="D40" s="20" t="e">
        <f>VLOOKUP(B40,Sheet3!B:E,3,0)</f>
        <v>#N/A</v>
      </c>
      <c r="E40" s="20" t="e">
        <f>VLOOKUP(B40,Sheet3!B:E,4,0)</f>
        <v>#N/A</v>
      </c>
      <c r="F40" s="3" t="s">
        <v>49</v>
      </c>
      <c r="G40" s="4"/>
    </row>
    <row r="41" spans="1:7" ht="24.95" customHeight="1" x14ac:dyDescent="0.25">
      <c r="A41" s="3"/>
      <c r="B41" s="68">
        <f>'Seating Plan'!H258</f>
        <v>0</v>
      </c>
      <c r="C41" s="20" t="e">
        <f>VLOOKUP(B41,Sheet3!B:E,2,0)</f>
        <v>#N/A</v>
      </c>
      <c r="D41" s="20" t="e">
        <f>VLOOKUP(B41,Sheet3!B:E,3,0)</f>
        <v>#N/A</v>
      </c>
      <c r="E41" s="20" t="e">
        <f>VLOOKUP(B41,Sheet3!B:E,4,0)</f>
        <v>#N/A</v>
      </c>
      <c r="F41" s="3" t="s">
        <v>50</v>
      </c>
      <c r="G41" s="4"/>
    </row>
    <row r="42" spans="1:7" ht="24.95" customHeight="1" x14ac:dyDescent="0.25">
      <c r="A42" s="3"/>
      <c r="B42" s="68">
        <f>'Seating Plan'!H259</f>
        <v>0</v>
      </c>
      <c r="C42" s="20" t="e">
        <f>VLOOKUP(B42,Sheet3!B:E,2,0)</f>
        <v>#N/A</v>
      </c>
      <c r="D42" s="20" t="e">
        <f>VLOOKUP(B42,Sheet3!B:E,3,0)</f>
        <v>#N/A</v>
      </c>
      <c r="E42" s="20" t="e">
        <f>VLOOKUP(B42,Sheet3!B:E,4,0)</f>
        <v>#N/A</v>
      </c>
      <c r="F42" s="3" t="s">
        <v>51</v>
      </c>
      <c r="G42" s="4"/>
    </row>
    <row r="43" spans="1:7" ht="24.95" customHeight="1" x14ac:dyDescent="0.25">
      <c r="A43" s="3"/>
      <c r="B43" s="68">
        <f>'Seating Plan'!H260</f>
        <v>0</v>
      </c>
      <c r="C43" s="20" t="e">
        <f>VLOOKUP(B43,Sheet3!B:E,2,0)</f>
        <v>#N/A</v>
      </c>
      <c r="D43" s="20" t="e">
        <f>VLOOKUP(B43,Sheet3!B:E,3,0)</f>
        <v>#N/A</v>
      </c>
      <c r="E43" s="20" t="e">
        <f>VLOOKUP(B43,Sheet3!B:E,4,0)</f>
        <v>#N/A</v>
      </c>
      <c r="F43" s="3" t="s">
        <v>46</v>
      </c>
      <c r="G43" s="4"/>
    </row>
    <row r="44" spans="1:7" ht="24.95" customHeight="1" x14ac:dyDescent="0.25">
      <c r="A44" s="3"/>
      <c r="B44" s="68">
        <f>'Seating Plan'!H261</f>
        <v>0</v>
      </c>
      <c r="C44" s="20" t="e">
        <f>VLOOKUP(B44,Sheet3!B:E,2,0)</f>
        <v>#N/A</v>
      </c>
      <c r="D44" s="20" t="e">
        <f>VLOOKUP(B44,Sheet3!B:E,3,0)</f>
        <v>#N/A</v>
      </c>
      <c r="E44" s="20" t="e">
        <f>VLOOKUP(B44,Sheet3!B:E,4,0)</f>
        <v>#N/A</v>
      </c>
      <c r="F44" s="3" t="s">
        <v>52</v>
      </c>
      <c r="G44" s="4"/>
    </row>
    <row r="45" spans="1:7" ht="24.95" customHeight="1" x14ac:dyDescent="0.25">
      <c r="A45" s="3"/>
      <c r="B45" s="68">
        <f>'Seating Plan'!H262</f>
        <v>0</v>
      </c>
      <c r="C45" s="20" t="e">
        <f>VLOOKUP(B45,Sheet3!B:E,2,0)</f>
        <v>#N/A</v>
      </c>
      <c r="D45" s="20" t="e">
        <f>VLOOKUP(B45,Sheet3!B:E,3,0)</f>
        <v>#N/A</v>
      </c>
      <c r="E45" s="20" t="e">
        <f>VLOOKUP(B45,Sheet3!B:E,4,0)</f>
        <v>#N/A</v>
      </c>
      <c r="F45" s="3" t="s">
        <v>53</v>
      </c>
      <c r="G45" s="4"/>
    </row>
    <row r="46" spans="1:7" ht="24.95" customHeight="1" x14ac:dyDescent="0.25">
      <c r="A46" s="3"/>
      <c r="B46" s="68">
        <f>'Seating Plan'!H263</f>
        <v>0</v>
      </c>
      <c r="C46" s="20" t="e">
        <f>VLOOKUP(B46,Sheet3!B:E,2,0)</f>
        <v>#N/A</v>
      </c>
      <c r="D46" s="20" t="e">
        <f>VLOOKUP(B46,Sheet3!B:E,3,0)</f>
        <v>#N/A</v>
      </c>
      <c r="E46" s="20" t="e">
        <f>VLOOKUP(B46,Sheet3!B:E,4,0)</f>
        <v>#N/A</v>
      </c>
      <c r="F46" s="3" t="s">
        <v>54</v>
      </c>
      <c r="G46" s="4"/>
    </row>
    <row r="47" spans="1:7" ht="24.95" customHeight="1" x14ac:dyDescent="0.25">
      <c r="A47" s="3"/>
      <c r="B47" s="68">
        <f>'Seating Plan'!H264</f>
        <v>0</v>
      </c>
      <c r="C47" s="20" t="e">
        <f>VLOOKUP(B47,Sheet3!B:E,2,0)</f>
        <v>#N/A</v>
      </c>
      <c r="D47" s="20" t="e">
        <f>VLOOKUP(B47,Sheet3!B:E,3,0)</f>
        <v>#N/A</v>
      </c>
      <c r="E47" s="20" t="e">
        <f>VLOOKUP(B47,Sheet3!B:E,4,0)</f>
        <v>#N/A</v>
      </c>
      <c r="F47" s="3" t="s">
        <v>55</v>
      </c>
      <c r="G47" s="4"/>
    </row>
    <row r="48" spans="1:7" ht="24.95" customHeight="1" x14ac:dyDescent="0.25">
      <c r="A48" s="3"/>
      <c r="B48" s="68">
        <f>'Seating Plan'!H265</f>
        <v>0</v>
      </c>
      <c r="C48" s="20" t="e">
        <f>VLOOKUP(B48,Sheet3!B:E,2,0)</f>
        <v>#N/A</v>
      </c>
      <c r="D48" s="20" t="e">
        <f>VLOOKUP(B48,Sheet3!B:E,3,0)</f>
        <v>#N/A</v>
      </c>
      <c r="E48" s="20" t="e">
        <f>VLOOKUP(B48,Sheet3!B:E,4,0)</f>
        <v>#N/A</v>
      </c>
      <c r="F48" s="3" t="s">
        <v>56</v>
      </c>
      <c r="G48" s="4"/>
    </row>
    <row r="49" spans="1:7" ht="24.95" customHeight="1" x14ac:dyDescent="0.25">
      <c r="A49" s="3"/>
      <c r="B49" s="68">
        <f>'Seating Plan'!H266</f>
        <v>0</v>
      </c>
      <c r="C49" s="20" t="e">
        <f>VLOOKUP(B49,Sheet3!B:E,2,0)</f>
        <v>#N/A</v>
      </c>
      <c r="D49" s="20" t="e">
        <f>VLOOKUP(B49,Sheet3!B:E,3,0)</f>
        <v>#N/A</v>
      </c>
      <c r="E49" s="20" t="e">
        <f>VLOOKUP(B49,Sheet3!B:E,4,0)</f>
        <v>#N/A</v>
      </c>
      <c r="F49" s="3" t="s">
        <v>57</v>
      </c>
      <c r="G49" s="4"/>
    </row>
    <row r="50" spans="1:7" ht="24.95" customHeight="1" x14ac:dyDescent="0.25">
      <c r="A50" s="3"/>
      <c r="B50" s="68">
        <f>'Seating Plan'!H267</f>
        <v>0</v>
      </c>
      <c r="C50" s="20" t="e">
        <f>VLOOKUP(B50,Sheet3!B:E,2,0)</f>
        <v>#N/A</v>
      </c>
      <c r="D50" s="20" t="e">
        <f>VLOOKUP(B50,Sheet3!B:E,3,0)</f>
        <v>#N/A</v>
      </c>
      <c r="E50" s="20" t="e">
        <f>VLOOKUP(B50,Sheet3!B:E,4,0)</f>
        <v>#N/A</v>
      </c>
      <c r="F50" s="3" t="s">
        <v>58</v>
      </c>
      <c r="G50" s="4"/>
    </row>
    <row r="51" spans="1:7" ht="24.95" customHeight="1" x14ac:dyDescent="0.25">
      <c r="A51" s="3"/>
      <c r="B51" s="68">
        <f>'Seating Plan'!H268</f>
        <v>0</v>
      </c>
      <c r="C51" s="20" t="e">
        <f>VLOOKUP(B51,Sheet3!B:E,2,0)</f>
        <v>#N/A</v>
      </c>
      <c r="D51" s="20" t="e">
        <f>VLOOKUP(B51,Sheet3!B:E,3,0)</f>
        <v>#N/A</v>
      </c>
      <c r="E51" s="20" t="e">
        <f>VLOOKUP(B51,Sheet3!B:E,4,0)</f>
        <v>#N/A</v>
      </c>
      <c r="F51" s="3" t="s">
        <v>59</v>
      </c>
      <c r="G51" s="4"/>
    </row>
    <row r="52" spans="1:7" ht="24.95" hidden="1" customHeight="1" x14ac:dyDescent="0.25">
      <c r="A52" s="3"/>
      <c r="B52" s="8"/>
      <c r="C52" s="8"/>
      <c r="D52" s="9"/>
      <c r="E52" s="20" t="e">
        <f>VLOOKUP(B52,Sheet3!B:E,4,0)</f>
        <v>#N/A</v>
      </c>
      <c r="F52" s="9"/>
      <c r="G52" s="4"/>
    </row>
    <row r="53" spans="1:7" ht="24.95" hidden="1" customHeight="1" x14ac:dyDescent="0.25">
      <c r="A53" s="3"/>
      <c r="B53" s="8"/>
      <c r="C53" s="8"/>
      <c r="D53" s="9"/>
      <c r="E53" s="20" t="e">
        <f>VLOOKUP(B53,Sheet3!B:E,4,0)</f>
        <v>#N/A</v>
      </c>
      <c r="F53" s="9"/>
      <c r="G53" s="4"/>
    </row>
  </sheetData>
  <mergeCells count="12">
    <mergeCell ref="A34:G34"/>
    <mergeCell ref="A1:G1"/>
    <mergeCell ref="A2:G2"/>
    <mergeCell ref="A3:G3"/>
    <mergeCell ref="A4:G4"/>
    <mergeCell ref="A5:G5"/>
    <mergeCell ref="A6:G6"/>
    <mergeCell ref="A29:G29"/>
    <mergeCell ref="A30:G30"/>
    <mergeCell ref="A31:G31"/>
    <mergeCell ref="A32:G32"/>
    <mergeCell ref="A33:G33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orientation="portrait" r:id="rId1"/>
  <headerFooter>
    <oddFooter>&amp;L
Technical Staff Name and Sign&amp;C
 Total Present:
Total Absent:&amp;R
Invigilator Name and Sign
Invigilator Name and Sign</oddFooter>
  </headerFooter>
  <rowBreaks count="1" manualBreakCount="1">
    <brk id="28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5A9C-92F2-470C-A4AC-313DD79266E7}">
  <dimension ref="A1:I42"/>
  <sheetViews>
    <sheetView zoomScaleNormal="100" workbookViewId="0">
      <selection activeCell="A8" sqref="A8"/>
    </sheetView>
  </sheetViews>
  <sheetFormatPr defaultColWidth="8.7109375" defaultRowHeight="15" x14ac:dyDescent="0.25"/>
  <cols>
    <col min="1" max="1" width="5.7109375" style="1" customWidth="1"/>
    <col min="2" max="2" width="15.85546875" style="1" customWidth="1"/>
    <col min="3" max="3" width="22.85546875" style="1" customWidth="1"/>
    <col min="4" max="4" width="12.85546875" style="1" bestFit="1" customWidth="1"/>
    <col min="5" max="5" width="12.7109375" style="1" customWidth="1"/>
    <col min="6" max="6" width="9" style="1" customWidth="1"/>
    <col min="7" max="7" width="19" style="1" customWidth="1"/>
    <col min="8" max="16384" width="8.7109375" style="1"/>
  </cols>
  <sheetData>
    <row r="1" spans="1:9" ht="20.25" x14ac:dyDescent="0.3">
      <c r="A1" s="94" t="s">
        <v>24</v>
      </c>
      <c r="B1" s="94"/>
      <c r="C1" s="94"/>
      <c r="D1" s="94"/>
      <c r="E1" s="94"/>
      <c r="F1" s="94"/>
      <c r="G1" s="94"/>
    </row>
    <row r="2" spans="1:9" ht="20.25" x14ac:dyDescent="0.3">
      <c r="A2" s="94" t="s">
        <v>25</v>
      </c>
      <c r="B2" s="94"/>
      <c r="C2" s="94"/>
      <c r="D2" s="94"/>
      <c r="E2" s="94"/>
      <c r="F2" s="94"/>
      <c r="G2" s="94"/>
    </row>
    <row r="3" spans="1:9" x14ac:dyDescent="0.25">
      <c r="A3" s="82" t="s">
        <v>20</v>
      </c>
      <c r="B3" s="82"/>
      <c r="C3" s="82"/>
      <c r="D3" s="82"/>
      <c r="E3" s="82"/>
      <c r="F3" s="82"/>
      <c r="G3" s="82"/>
      <c r="H3" s="2"/>
      <c r="I3" s="2"/>
    </row>
    <row r="4" spans="1:9" x14ac:dyDescent="0.25">
      <c r="A4" s="82" t="s">
        <v>21</v>
      </c>
      <c r="B4" s="82"/>
      <c r="C4" s="82"/>
      <c r="D4" s="82"/>
      <c r="E4" s="82"/>
      <c r="F4" s="82"/>
      <c r="G4" s="82"/>
    </row>
    <row r="5" spans="1:9" x14ac:dyDescent="0.25">
      <c r="A5" s="82" t="s">
        <v>6</v>
      </c>
      <c r="B5" s="82"/>
      <c r="C5" s="82"/>
      <c r="D5" s="82"/>
      <c r="E5" s="82"/>
      <c r="F5" s="82"/>
      <c r="G5" s="82"/>
    </row>
    <row r="6" spans="1:9" x14ac:dyDescent="0.25">
      <c r="A6" s="82" t="s">
        <v>0</v>
      </c>
      <c r="B6" s="82"/>
      <c r="C6" s="82"/>
      <c r="D6" s="82"/>
      <c r="E6" s="82"/>
      <c r="F6" s="82"/>
      <c r="G6" s="82"/>
    </row>
    <row r="7" spans="1:9" x14ac:dyDescent="0.25">
      <c r="A7" s="2"/>
      <c r="B7" s="2"/>
      <c r="C7" s="2"/>
      <c r="D7" s="2"/>
      <c r="E7" s="2"/>
      <c r="F7" s="2"/>
    </row>
    <row r="8" spans="1:9" ht="21.75" customHeight="1" x14ac:dyDescent="0.25">
      <c r="A8" s="2" t="s">
        <v>156</v>
      </c>
      <c r="B8" s="7"/>
      <c r="C8" s="18" t="e">
        <f>VLOOKUP(D11,Sheet3!G:H,2,0)</f>
        <v>#N/A</v>
      </c>
      <c r="D8" s="7"/>
      <c r="E8" s="7"/>
      <c r="F8" s="7"/>
      <c r="G8" s="10" t="str">
        <f>'Seating Plan'!D$3</f>
        <v>08.04.2026</v>
      </c>
    </row>
    <row r="9" spans="1:9" x14ac:dyDescent="0.25">
      <c r="A9" s="23"/>
      <c r="B9" s="23"/>
      <c r="C9" s="23"/>
      <c r="D9" s="23"/>
      <c r="E9" s="23"/>
      <c r="F9" s="23"/>
      <c r="G9" s="10" t="str">
        <f>'Seating Plan'!G$4</f>
        <v>Shift:I (10:00 to 11:00 AM)</v>
      </c>
    </row>
    <row r="10" spans="1:9" ht="23.1" customHeight="1" x14ac:dyDescent="0.25">
      <c r="A10" s="5" t="s">
        <v>1</v>
      </c>
      <c r="B10" s="5" t="s">
        <v>3</v>
      </c>
      <c r="C10" s="5" t="s">
        <v>2</v>
      </c>
      <c r="D10" s="5" t="s">
        <v>19</v>
      </c>
      <c r="E10" s="5" t="s">
        <v>4</v>
      </c>
      <c r="F10" s="5" t="s">
        <v>18</v>
      </c>
      <c r="G10" s="5" t="s">
        <v>5</v>
      </c>
    </row>
    <row r="11" spans="1:9" ht="23.1" customHeight="1" x14ac:dyDescent="0.25">
      <c r="A11" s="3"/>
      <c r="B11" s="68">
        <f>'Seating Plan'!F269</f>
        <v>0</v>
      </c>
      <c r="C11" s="20" t="e">
        <f>VLOOKUP(B11,Sheet3!B:E,2,0)</f>
        <v>#N/A</v>
      </c>
      <c r="D11" s="20" t="e">
        <f>VLOOKUP(B11,Sheet3!B:E,3,0)</f>
        <v>#N/A</v>
      </c>
      <c r="E11" s="20" t="e">
        <f>VLOOKUP(B11,Sheet3!B:E,4,0)</f>
        <v>#N/A</v>
      </c>
      <c r="F11" s="11" t="s">
        <v>32</v>
      </c>
      <c r="G11" s="4"/>
    </row>
    <row r="12" spans="1:9" ht="23.1" customHeight="1" x14ac:dyDescent="0.25">
      <c r="A12" s="3"/>
      <c r="B12" s="68">
        <f>'Seating Plan'!F270</f>
        <v>0</v>
      </c>
      <c r="C12" s="20" t="e">
        <f>VLOOKUP(B12,Sheet3!B:E,2,0)</f>
        <v>#N/A</v>
      </c>
      <c r="D12" s="20" t="e">
        <f>VLOOKUP(B12,Sheet3!B:E,3,0)</f>
        <v>#N/A</v>
      </c>
      <c r="E12" s="20" t="e">
        <f>VLOOKUP(B12,Sheet3!B:E,4,0)</f>
        <v>#N/A</v>
      </c>
      <c r="F12" s="11" t="s">
        <v>33</v>
      </c>
      <c r="G12" s="4"/>
    </row>
    <row r="13" spans="1:9" ht="23.1" customHeight="1" x14ac:dyDescent="0.25">
      <c r="A13" s="3"/>
      <c r="B13" s="68">
        <f>'Seating Plan'!F271</f>
        <v>0</v>
      </c>
      <c r="C13" s="20" t="e">
        <f>VLOOKUP(B13,Sheet3!B:E,2,0)</f>
        <v>#N/A</v>
      </c>
      <c r="D13" s="20" t="e">
        <f>VLOOKUP(B13,Sheet3!B:E,3,0)</f>
        <v>#N/A</v>
      </c>
      <c r="E13" s="20" t="e">
        <f>VLOOKUP(B13,Sheet3!B:E,4,0)</f>
        <v>#N/A</v>
      </c>
      <c r="F13" s="11" t="s">
        <v>34</v>
      </c>
      <c r="G13" s="4"/>
    </row>
    <row r="14" spans="1:9" ht="23.1" customHeight="1" x14ac:dyDescent="0.25">
      <c r="A14" s="3"/>
      <c r="B14" s="68">
        <f>'Seating Plan'!F272</f>
        <v>0</v>
      </c>
      <c r="C14" s="20" t="e">
        <f>VLOOKUP(B14,Sheet3!B:E,2,0)</f>
        <v>#N/A</v>
      </c>
      <c r="D14" s="20" t="e">
        <f>VLOOKUP(B14,Sheet3!B:E,3,0)</f>
        <v>#N/A</v>
      </c>
      <c r="E14" s="20" t="e">
        <f>VLOOKUP(B14,Sheet3!B:E,4,0)</f>
        <v>#N/A</v>
      </c>
      <c r="F14" s="11" t="s">
        <v>35</v>
      </c>
      <c r="G14" s="4"/>
    </row>
    <row r="15" spans="1:9" ht="23.1" customHeight="1" x14ac:dyDescent="0.25">
      <c r="A15" s="3"/>
      <c r="B15" s="68">
        <f>'Seating Plan'!F273</f>
        <v>0</v>
      </c>
      <c r="C15" s="20" t="e">
        <f>VLOOKUP(B15,Sheet3!B:E,2,0)</f>
        <v>#N/A</v>
      </c>
      <c r="D15" s="20" t="e">
        <f>VLOOKUP(B15,Sheet3!B:E,3,0)</f>
        <v>#N/A</v>
      </c>
      <c r="E15" s="20" t="e">
        <f>VLOOKUP(B15,Sheet3!B:E,4,0)</f>
        <v>#N/A</v>
      </c>
      <c r="F15" s="11" t="s">
        <v>36</v>
      </c>
      <c r="G15" s="4"/>
    </row>
    <row r="16" spans="1:9" ht="23.1" customHeight="1" x14ac:dyDescent="0.25">
      <c r="A16" s="3"/>
      <c r="B16" s="68">
        <f>'Seating Plan'!F274</f>
        <v>0</v>
      </c>
      <c r="C16" s="20" t="e">
        <f>VLOOKUP(B16,Sheet3!B:E,2,0)</f>
        <v>#N/A</v>
      </c>
      <c r="D16" s="20" t="e">
        <f>VLOOKUP(B16,Sheet3!B:E,3,0)</f>
        <v>#N/A</v>
      </c>
      <c r="E16" s="20" t="e">
        <f>VLOOKUP(B16,Sheet3!B:E,4,0)</f>
        <v>#N/A</v>
      </c>
      <c r="F16" s="11" t="s">
        <v>37</v>
      </c>
      <c r="G16" s="4"/>
    </row>
    <row r="17" spans="1:7" ht="23.1" customHeight="1" x14ac:dyDescent="0.25">
      <c r="A17" s="3"/>
      <c r="B17" s="68">
        <f>'Seating Plan'!F275</f>
        <v>0</v>
      </c>
      <c r="C17" s="20" t="e">
        <f>VLOOKUP(B17,Sheet3!B:E,2,0)</f>
        <v>#N/A</v>
      </c>
      <c r="D17" s="20" t="e">
        <f>VLOOKUP(B17,Sheet3!B:E,3,0)</f>
        <v>#N/A</v>
      </c>
      <c r="E17" s="20" t="e">
        <f>VLOOKUP(B17,Sheet3!B:E,4,0)</f>
        <v>#N/A</v>
      </c>
      <c r="F17" s="11" t="s">
        <v>38</v>
      </c>
      <c r="G17" s="4"/>
    </row>
    <row r="18" spans="1:7" ht="23.1" customHeight="1" x14ac:dyDescent="0.25">
      <c r="A18" s="3"/>
      <c r="B18" s="68">
        <f>'Seating Plan'!F276</f>
        <v>0</v>
      </c>
      <c r="C18" s="20" t="e">
        <f>VLOOKUP(B18,Sheet3!B:E,2,0)</f>
        <v>#N/A</v>
      </c>
      <c r="D18" s="20" t="e">
        <f>VLOOKUP(B18,Sheet3!B:E,3,0)</f>
        <v>#N/A</v>
      </c>
      <c r="E18" s="20" t="e">
        <f>VLOOKUP(B18,Sheet3!B:E,4,0)</f>
        <v>#N/A</v>
      </c>
      <c r="F18" s="11" t="s">
        <v>39</v>
      </c>
      <c r="G18" s="4"/>
    </row>
    <row r="19" spans="1:7" ht="23.1" customHeight="1" x14ac:dyDescent="0.25">
      <c r="A19" s="3"/>
      <c r="B19" s="68">
        <f>'Seating Plan'!F277</f>
        <v>0</v>
      </c>
      <c r="C19" s="20" t="e">
        <f>VLOOKUP(B19,Sheet3!B:E,2,0)</f>
        <v>#N/A</v>
      </c>
      <c r="D19" s="20" t="e">
        <f>VLOOKUP(B19,Sheet3!B:E,3,0)</f>
        <v>#N/A</v>
      </c>
      <c r="E19" s="20" t="e">
        <f>VLOOKUP(B19,Sheet3!B:E,4,0)</f>
        <v>#N/A</v>
      </c>
      <c r="F19" s="11" t="s">
        <v>40</v>
      </c>
      <c r="G19" s="4"/>
    </row>
    <row r="20" spans="1:7" ht="23.1" customHeight="1" x14ac:dyDescent="0.25">
      <c r="A20" s="3"/>
      <c r="B20" s="68">
        <f>'Seating Plan'!F278</f>
        <v>0</v>
      </c>
      <c r="C20" s="20" t="e">
        <f>VLOOKUP(B20,Sheet3!B:E,2,0)</f>
        <v>#N/A</v>
      </c>
      <c r="D20" s="20" t="e">
        <f>VLOOKUP(B20,Sheet3!B:E,3,0)</f>
        <v>#N/A</v>
      </c>
      <c r="E20" s="20" t="e">
        <f>VLOOKUP(B20,Sheet3!B:E,4,0)</f>
        <v>#N/A</v>
      </c>
      <c r="F20" s="11" t="s">
        <v>41</v>
      </c>
      <c r="G20" s="4"/>
    </row>
    <row r="24" spans="1:7" ht="20.25" x14ac:dyDescent="0.3">
      <c r="A24" s="94" t="s">
        <v>24</v>
      </c>
      <c r="B24" s="94"/>
      <c r="C24" s="94"/>
      <c r="D24" s="94"/>
      <c r="E24" s="94"/>
      <c r="F24" s="94"/>
      <c r="G24" s="94"/>
    </row>
    <row r="25" spans="1:7" ht="20.25" x14ac:dyDescent="0.3">
      <c r="A25" s="94" t="s">
        <v>25</v>
      </c>
      <c r="B25" s="94"/>
      <c r="C25" s="94"/>
      <c r="D25" s="94"/>
      <c r="E25" s="94"/>
      <c r="F25" s="94"/>
      <c r="G25" s="94"/>
    </row>
    <row r="26" spans="1:7" x14ac:dyDescent="0.25">
      <c r="A26" s="82" t="s">
        <v>20</v>
      </c>
      <c r="B26" s="82"/>
      <c r="C26" s="82"/>
      <c r="D26" s="82"/>
      <c r="E26" s="82"/>
      <c r="F26" s="82"/>
      <c r="G26" s="82"/>
    </row>
    <row r="27" spans="1:7" x14ac:dyDescent="0.25">
      <c r="A27" s="82" t="s">
        <v>21</v>
      </c>
      <c r="B27" s="82"/>
      <c r="C27" s="82"/>
      <c r="D27" s="82"/>
      <c r="E27" s="82"/>
      <c r="F27" s="82"/>
      <c r="G27" s="82"/>
    </row>
    <row r="28" spans="1:7" x14ac:dyDescent="0.25">
      <c r="A28" s="82" t="s">
        <v>6</v>
      </c>
      <c r="B28" s="82"/>
      <c r="C28" s="82"/>
      <c r="D28" s="82"/>
      <c r="E28" s="82"/>
      <c r="F28" s="82"/>
      <c r="G28" s="82"/>
    </row>
    <row r="29" spans="1:7" x14ac:dyDescent="0.25">
      <c r="A29" s="82" t="s">
        <v>0</v>
      </c>
      <c r="B29" s="82"/>
      <c r="C29" s="82"/>
      <c r="D29" s="82"/>
      <c r="E29" s="82"/>
      <c r="F29" s="82"/>
      <c r="G29" s="82"/>
    </row>
    <row r="30" spans="1:7" x14ac:dyDescent="0.25">
      <c r="A30" s="2" t="s">
        <v>156</v>
      </c>
      <c r="B30" s="7"/>
      <c r="C30" s="18" t="e">
        <f>VLOOKUP(D33,Sheet3!G:H,2,0)</f>
        <v>#N/A</v>
      </c>
      <c r="D30" s="7"/>
      <c r="E30" s="7"/>
      <c r="F30" s="7"/>
      <c r="G30" s="10" t="str">
        <f>'Seating Plan'!D$3</f>
        <v>08.04.2026</v>
      </c>
    </row>
    <row r="31" spans="1:7" x14ac:dyDescent="0.25">
      <c r="A31" s="23"/>
      <c r="B31" s="23"/>
      <c r="C31" s="23"/>
      <c r="D31" s="23"/>
      <c r="E31" s="23"/>
      <c r="F31" s="23"/>
      <c r="G31" s="10" t="str">
        <f>'Seating Plan'!G$4</f>
        <v>Shift:I (10:00 to 11:00 AM)</v>
      </c>
    </row>
    <row r="32" spans="1:7" ht="31.5" customHeight="1" x14ac:dyDescent="0.25">
      <c r="A32" s="5" t="s">
        <v>1</v>
      </c>
      <c r="B32" s="5" t="s">
        <v>3</v>
      </c>
      <c r="C32" s="5" t="s">
        <v>2</v>
      </c>
      <c r="D32" s="5" t="s">
        <v>19</v>
      </c>
      <c r="E32" s="5" t="s">
        <v>4</v>
      </c>
      <c r="F32" s="5" t="s">
        <v>18</v>
      </c>
      <c r="G32" s="5" t="s">
        <v>5</v>
      </c>
    </row>
    <row r="33" spans="1:7" ht="23.1" customHeight="1" x14ac:dyDescent="0.25">
      <c r="A33" s="3"/>
      <c r="B33" s="68">
        <f>'Seating Plan'!H269</f>
        <v>0</v>
      </c>
      <c r="C33" s="20" t="e">
        <f>VLOOKUP(B33,Sheet3!B:E,2,0)</f>
        <v>#N/A</v>
      </c>
      <c r="D33" s="20" t="e">
        <f>VLOOKUP(B33,Sheet3!B:E,3,0)</f>
        <v>#N/A</v>
      </c>
      <c r="E33" s="20" t="e">
        <f>VLOOKUP(B33,Sheet3!B:E,4,0)</f>
        <v>#N/A</v>
      </c>
      <c r="F33" s="11" t="s">
        <v>47</v>
      </c>
      <c r="G33" s="4"/>
    </row>
    <row r="34" spans="1:7" ht="23.1" customHeight="1" x14ac:dyDescent="0.25">
      <c r="A34" s="3"/>
      <c r="B34" s="68">
        <f>'Seating Plan'!H270</f>
        <v>0</v>
      </c>
      <c r="C34" s="20" t="e">
        <f>VLOOKUP(B34,Sheet3!B:E,2,0)</f>
        <v>#N/A</v>
      </c>
      <c r="D34" s="20" t="e">
        <f>VLOOKUP(B34,Sheet3!B:E,3,0)</f>
        <v>#N/A</v>
      </c>
      <c r="E34" s="20" t="e">
        <f>VLOOKUP(B34,Sheet3!B:E,4,0)</f>
        <v>#N/A</v>
      </c>
      <c r="F34" s="11" t="s">
        <v>48</v>
      </c>
      <c r="G34" s="4"/>
    </row>
    <row r="35" spans="1:7" ht="23.1" customHeight="1" x14ac:dyDescent="0.25">
      <c r="A35" s="3"/>
      <c r="B35" s="68">
        <f>'Seating Plan'!H271</f>
        <v>0</v>
      </c>
      <c r="C35" s="20" t="e">
        <f>VLOOKUP(B35,Sheet3!B:E,2,0)</f>
        <v>#N/A</v>
      </c>
      <c r="D35" s="20" t="e">
        <f>VLOOKUP(B35,Sheet3!B:E,3,0)</f>
        <v>#N/A</v>
      </c>
      <c r="E35" s="20" t="e">
        <f>VLOOKUP(B35,Sheet3!B:E,4,0)</f>
        <v>#N/A</v>
      </c>
      <c r="F35" s="11" t="s">
        <v>49</v>
      </c>
      <c r="G35" s="4"/>
    </row>
    <row r="36" spans="1:7" ht="23.1" customHeight="1" x14ac:dyDescent="0.25">
      <c r="A36" s="3"/>
      <c r="B36" s="68">
        <f>'Seating Plan'!H272</f>
        <v>0</v>
      </c>
      <c r="C36" s="20" t="e">
        <f>VLOOKUP(B36,Sheet3!B:E,2,0)</f>
        <v>#N/A</v>
      </c>
      <c r="D36" s="20" t="e">
        <f>VLOOKUP(B36,Sheet3!B:E,3,0)</f>
        <v>#N/A</v>
      </c>
      <c r="E36" s="20" t="e">
        <f>VLOOKUP(B36,Sheet3!B:E,4,0)</f>
        <v>#N/A</v>
      </c>
      <c r="F36" s="11" t="s">
        <v>50</v>
      </c>
      <c r="G36" s="4"/>
    </row>
    <row r="37" spans="1:7" ht="23.1" customHeight="1" x14ac:dyDescent="0.25">
      <c r="A37" s="3"/>
      <c r="B37" s="68">
        <f>'Seating Plan'!H273</f>
        <v>0</v>
      </c>
      <c r="C37" s="20" t="e">
        <f>VLOOKUP(B37,Sheet3!B:E,2,0)</f>
        <v>#N/A</v>
      </c>
      <c r="D37" s="20" t="e">
        <f>VLOOKUP(B37,Sheet3!B:E,3,0)</f>
        <v>#N/A</v>
      </c>
      <c r="E37" s="20" t="e">
        <f>VLOOKUP(B37,Sheet3!B:E,4,0)</f>
        <v>#N/A</v>
      </c>
      <c r="F37" s="11" t="s">
        <v>51</v>
      </c>
      <c r="G37" s="4"/>
    </row>
    <row r="38" spans="1:7" ht="23.1" customHeight="1" x14ac:dyDescent="0.25">
      <c r="A38" s="3"/>
      <c r="B38" s="68">
        <f>'Seating Plan'!H274</f>
        <v>0</v>
      </c>
      <c r="C38" s="20" t="e">
        <f>VLOOKUP(B38,Sheet3!B:E,2,0)</f>
        <v>#N/A</v>
      </c>
      <c r="D38" s="20" t="e">
        <f>VLOOKUP(B38,Sheet3!B:E,3,0)</f>
        <v>#N/A</v>
      </c>
      <c r="E38" s="20" t="e">
        <f>VLOOKUP(B38,Sheet3!B:E,4,0)</f>
        <v>#N/A</v>
      </c>
      <c r="F38" s="11" t="s">
        <v>46</v>
      </c>
      <c r="G38" s="4"/>
    </row>
    <row r="39" spans="1:7" ht="23.1" customHeight="1" x14ac:dyDescent="0.25">
      <c r="A39" s="3"/>
      <c r="B39" s="68">
        <f>'Seating Plan'!H275</f>
        <v>0</v>
      </c>
      <c r="C39" s="20" t="e">
        <f>VLOOKUP(B39,Sheet3!B:E,2,0)</f>
        <v>#N/A</v>
      </c>
      <c r="D39" s="20" t="e">
        <f>VLOOKUP(B39,Sheet3!B:E,3,0)</f>
        <v>#N/A</v>
      </c>
      <c r="E39" s="20" t="e">
        <f>VLOOKUP(B39,Sheet3!B:E,4,0)</f>
        <v>#N/A</v>
      </c>
      <c r="F39" s="11" t="s">
        <v>52</v>
      </c>
      <c r="G39" s="4"/>
    </row>
    <row r="40" spans="1:7" ht="23.1" customHeight="1" x14ac:dyDescent="0.25">
      <c r="A40" s="3"/>
      <c r="B40" s="68">
        <f>'Seating Plan'!H276</f>
        <v>0</v>
      </c>
      <c r="C40" s="20" t="e">
        <f>VLOOKUP(B40,Sheet3!B:E,2,0)</f>
        <v>#N/A</v>
      </c>
      <c r="D40" s="20" t="e">
        <f>VLOOKUP(B40,Sheet3!B:E,3,0)</f>
        <v>#N/A</v>
      </c>
      <c r="E40" s="20" t="e">
        <f>VLOOKUP(B40,Sheet3!B:E,4,0)</f>
        <v>#N/A</v>
      </c>
      <c r="F40" s="11" t="s">
        <v>53</v>
      </c>
      <c r="G40" s="4"/>
    </row>
    <row r="41" spans="1:7" ht="23.1" customHeight="1" x14ac:dyDescent="0.25">
      <c r="A41" s="3"/>
      <c r="B41" s="68">
        <f>'Seating Plan'!H277</f>
        <v>0</v>
      </c>
      <c r="C41" s="20" t="e">
        <f>VLOOKUP(B41,Sheet3!B:E,2,0)</f>
        <v>#N/A</v>
      </c>
      <c r="D41" s="20" t="e">
        <f>VLOOKUP(B41,Sheet3!B:E,3,0)</f>
        <v>#N/A</v>
      </c>
      <c r="E41" s="20" t="e">
        <f>VLOOKUP(B41,Sheet3!B:E,4,0)</f>
        <v>#N/A</v>
      </c>
      <c r="F41" s="11" t="s">
        <v>54</v>
      </c>
      <c r="G41" s="4"/>
    </row>
    <row r="42" spans="1:7" ht="23.1" customHeight="1" x14ac:dyDescent="0.25">
      <c r="A42" s="3"/>
      <c r="B42" s="68">
        <f>'Seating Plan'!H278</f>
        <v>0</v>
      </c>
      <c r="C42" s="20" t="e">
        <f>VLOOKUP(B42,Sheet3!B:E,2,0)</f>
        <v>#N/A</v>
      </c>
      <c r="D42" s="20" t="e">
        <f>VLOOKUP(B42,Sheet3!B:E,3,0)</f>
        <v>#N/A</v>
      </c>
      <c r="E42" s="20" t="e">
        <f>VLOOKUP(B42,Sheet3!B:E,4,0)</f>
        <v>#N/A</v>
      </c>
      <c r="F42" s="11" t="s">
        <v>55</v>
      </c>
      <c r="G42" s="4"/>
    </row>
  </sheetData>
  <mergeCells count="12">
    <mergeCell ref="A6:G6"/>
    <mergeCell ref="A29:G29"/>
    <mergeCell ref="A3:G3"/>
    <mergeCell ref="A5:G5"/>
    <mergeCell ref="A1:G1"/>
    <mergeCell ref="A2:G2"/>
    <mergeCell ref="A4:G4"/>
    <mergeCell ref="A28:G28"/>
    <mergeCell ref="A24:G24"/>
    <mergeCell ref="A25:G25"/>
    <mergeCell ref="A26:G26"/>
    <mergeCell ref="A27:G27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orientation="portrait" r:id="rId1"/>
  <headerFooter>
    <oddFooter>&amp;L
Technical Staff  Name and Signature&amp;C
Total Present:
Total Absent:&amp;R
Invigilator Name and Sign
Invigilator Name and Sign</oddFooter>
  </headerFooter>
  <rowBreaks count="1" manualBreakCount="1">
    <brk id="23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9B0D8-2507-45EF-915E-FD6F4C370CB6}">
  <dimension ref="A1:G44"/>
  <sheetViews>
    <sheetView topLeftCell="A19" zoomScaleNormal="100" workbookViewId="0">
      <selection activeCell="A31" sqref="A31"/>
    </sheetView>
  </sheetViews>
  <sheetFormatPr defaultColWidth="8.7109375" defaultRowHeight="15" x14ac:dyDescent="0.25"/>
  <cols>
    <col min="1" max="1" width="5.7109375" style="1" customWidth="1"/>
    <col min="2" max="2" width="15.85546875" style="1" customWidth="1"/>
    <col min="3" max="3" width="22.7109375" style="1" customWidth="1"/>
    <col min="4" max="4" width="14" style="1" customWidth="1"/>
    <col min="5" max="5" width="10.42578125" style="1" customWidth="1"/>
    <col min="6" max="6" width="10.140625" style="1" customWidth="1"/>
    <col min="7" max="7" width="20" style="1" customWidth="1"/>
    <col min="8" max="16384" width="8.7109375" style="1"/>
  </cols>
  <sheetData>
    <row r="1" spans="1:7" ht="20.25" x14ac:dyDescent="0.3">
      <c r="A1" s="94" t="s">
        <v>24</v>
      </c>
      <c r="B1" s="94"/>
      <c r="C1" s="94"/>
      <c r="D1" s="94"/>
      <c r="E1" s="94"/>
      <c r="F1" s="94"/>
      <c r="G1" s="94"/>
    </row>
    <row r="2" spans="1:7" ht="20.25" x14ac:dyDescent="0.3">
      <c r="A2" s="94" t="s">
        <v>25</v>
      </c>
      <c r="B2" s="94"/>
      <c r="C2" s="94"/>
      <c r="D2" s="94"/>
      <c r="E2" s="94"/>
      <c r="F2" s="94"/>
      <c r="G2" s="94"/>
    </row>
    <row r="3" spans="1:7" x14ac:dyDescent="0.25">
      <c r="A3" s="82" t="s">
        <v>20</v>
      </c>
      <c r="B3" s="82"/>
      <c r="C3" s="82"/>
      <c r="D3" s="82"/>
      <c r="E3" s="82"/>
      <c r="F3" s="82"/>
      <c r="G3" s="82"/>
    </row>
    <row r="4" spans="1:7" x14ac:dyDescent="0.25">
      <c r="A4" s="82" t="s">
        <v>21</v>
      </c>
      <c r="B4" s="82"/>
      <c r="C4" s="82"/>
      <c r="D4" s="82"/>
      <c r="E4" s="82"/>
      <c r="F4" s="82"/>
      <c r="G4" s="82"/>
    </row>
    <row r="5" spans="1:7" x14ac:dyDescent="0.25">
      <c r="A5" s="82" t="s">
        <v>12</v>
      </c>
      <c r="B5" s="82"/>
      <c r="C5" s="82"/>
      <c r="D5" s="82"/>
      <c r="E5" s="82"/>
      <c r="F5" s="82"/>
      <c r="G5" s="82"/>
    </row>
    <row r="6" spans="1:7" x14ac:dyDescent="0.25">
      <c r="A6" s="82" t="s">
        <v>0</v>
      </c>
      <c r="B6" s="82"/>
      <c r="C6" s="82"/>
      <c r="D6" s="82"/>
      <c r="E6" s="82"/>
      <c r="F6" s="82"/>
      <c r="G6" s="82"/>
    </row>
    <row r="7" spans="1:7" ht="17.100000000000001" customHeight="1" x14ac:dyDescent="0.25">
      <c r="A7" s="2" t="s">
        <v>156</v>
      </c>
      <c r="B7" s="2"/>
      <c r="C7" s="18" t="e">
        <f>VLOOKUP(D10,Sheet3!G:H,2,0)</f>
        <v>#N/A</v>
      </c>
      <c r="G7" s="10" t="str">
        <f>'Seating Plan'!D$3</f>
        <v>08.04.2026</v>
      </c>
    </row>
    <row r="8" spans="1:7" ht="21.95" customHeight="1" x14ac:dyDescent="0.25">
      <c r="G8" s="10" t="str">
        <f>'Seating Plan'!G$4</f>
        <v>Shift:I (10:00 to 11:00 AM)</v>
      </c>
    </row>
    <row r="9" spans="1:7" ht="24.6" customHeight="1" x14ac:dyDescent="0.25">
      <c r="A9" s="5" t="s">
        <v>1</v>
      </c>
      <c r="B9" s="5" t="s">
        <v>3</v>
      </c>
      <c r="C9" s="5" t="s">
        <v>2</v>
      </c>
      <c r="D9" s="5" t="s">
        <v>19</v>
      </c>
      <c r="E9" s="5" t="s">
        <v>4</v>
      </c>
      <c r="F9" s="5" t="s">
        <v>18</v>
      </c>
      <c r="G9" s="5" t="s">
        <v>5</v>
      </c>
    </row>
    <row r="10" spans="1:7" ht="24.95" customHeight="1" x14ac:dyDescent="0.25">
      <c r="A10" s="3"/>
      <c r="B10" s="68">
        <f>'Seating Plan'!F280</f>
        <v>0</v>
      </c>
      <c r="C10" s="20" t="e">
        <f>VLOOKUP(B10,Sheet3!B:E,2,0)</f>
        <v>#N/A</v>
      </c>
      <c r="D10" s="20" t="e">
        <f>VLOOKUP(B10,Sheet3!B:E,3,0)</f>
        <v>#N/A</v>
      </c>
      <c r="E10" s="20" t="e">
        <f>VLOOKUP(B10,Sheet3!B:E,4,0)</f>
        <v>#N/A</v>
      </c>
      <c r="F10" s="11" t="s">
        <v>32</v>
      </c>
      <c r="G10" s="4"/>
    </row>
    <row r="11" spans="1:7" ht="24.95" customHeight="1" x14ac:dyDescent="0.25">
      <c r="A11" s="3"/>
      <c r="B11" s="68">
        <f>'Seating Plan'!F281</f>
        <v>0</v>
      </c>
      <c r="C11" s="20" t="e">
        <f>VLOOKUP(B11,Sheet3!B:E,2,0)</f>
        <v>#N/A</v>
      </c>
      <c r="D11" s="20" t="e">
        <f>VLOOKUP(B11,Sheet3!B:E,3,0)</f>
        <v>#N/A</v>
      </c>
      <c r="E11" s="20" t="e">
        <f>VLOOKUP(B11,Sheet3!B:E,4,0)</f>
        <v>#N/A</v>
      </c>
      <c r="F11" s="11" t="s">
        <v>33</v>
      </c>
      <c r="G11" s="4"/>
    </row>
    <row r="12" spans="1:7" ht="24.95" customHeight="1" x14ac:dyDescent="0.25">
      <c r="A12" s="3"/>
      <c r="B12" s="68">
        <f>'Seating Plan'!F282</f>
        <v>0</v>
      </c>
      <c r="C12" s="20" t="e">
        <f>VLOOKUP(B12,Sheet3!B:E,2,0)</f>
        <v>#N/A</v>
      </c>
      <c r="D12" s="20" t="e">
        <f>VLOOKUP(B12,Sheet3!B:E,3,0)</f>
        <v>#N/A</v>
      </c>
      <c r="E12" s="20" t="e">
        <f>VLOOKUP(B12,Sheet3!B:E,4,0)</f>
        <v>#N/A</v>
      </c>
      <c r="F12" s="11" t="s">
        <v>34</v>
      </c>
      <c r="G12" s="4"/>
    </row>
    <row r="13" spans="1:7" ht="24.95" customHeight="1" x14ac:dyDescent="0.25">
      <c r="A13" s="3"/>
      <c r="B13" s="68">
        <f>'Seating Plan'!F283</f>
        <v>0</v>
      </c>
      <c r="C13" s="20" t="e">
        <f>VLOOKUP(B13,Sheet3!B:E,2,0)</f>
        <v>#N/A</v>
      </c>
      <c r="D13" s="20" t="e">
        <f>VLOOKUP(B13,Sheet3!B:E,3,0)</f>
        <v>#N/A</v>
      </c>
      <c r="E13" s="20" t="e">
        <f>VLOOKUP(B13,Sheet3!B:E,4,0)</f>
        <v>#N/A</v>
      </c>
      <c r="F13" s="11" t="s">
        <v>35</v>
      </c>
      <c r="G13" s="4"/>
    </row>
    <row r="14" spans="1:7" ht="24.95" customHeight="1" x14ac:dyDescent="0.25">
      <c r="A14" s="3"/>
      <c r="B14" s="68">
        <f>'Seating Plan'!F284</f>
        <v>0</v>
      </c>
      <c r="C14" s="20" t="e">
        <f>VLOOKUP(B14,Sheet3!B:E,2,0)</f>
        <v>#N/A</v>
      </c>
      <c r="D14" s="20" t="e">
        <f>VLOOKUP(B14,Sheet3!B:E,3,0)</f>
        <v>#N/A</v>
      </c>
      <c r="E14" s="20" t="e">
        <f>VLOOKUP(B14,Sheet3!B:E,4,0)</f>
        <v>#N/A</v>
      </c>
      <c r="F14" s="11" t="s">
        <v>36</v>
      </c>
      <c r="G14" s="4"/>
    </row>
    <row r="15" spans="1:7" ht="24.95" customHeight="1" x14ac:dyDescent="0.25">
      <c r="A15" s="3"/>
      <c r="B15" s="68">
        <f>'Seating Plan'!F285</f>
        <v>0</v>
      </c>
      <c r="C15" s="20" t="e">
        <f>VLOOKUP(B15,Sheet3!B:E,2,0)</f>
        <v>#N/A</v>
      </c>
      <c r="D15" s="20" t="e">
        <f>VLOOKUP(B15,Sheet3!B:E,3,0)</f>
        <v>#N/A</v>
      </c>
      <c r="E15" s="20" t="e">
        <f>VLOOKUP(B15,Sheet3!B:E,4,0)</f>
        <v>#N/A</v>
      </c>
      <c r="F15" s="11" t="s">
        <v>37</v>
      </c>
      <c r="G15" s="4"/>
    </row>
    <row r="16" spans="1:7" ht="24.95" customHeight="1" x14ac:dyDescent="0.25">
      <c r="A16" s="3"/>
      <c r="B16" s="68">
        <f>'Seating Plan'!F286</f>
        <v>0</v>
      </c>
      <c r="C16" s="20" t="e">
        <f>VLOOKUP(B16,Sheet3!B:E,2,0)</f>
        <v>#N/A</v>
      </c>
      <c r="D16" s="20" t="e">
        <f>VLOOKUP(B16,Sheet3!B:E,3,0)</f>
        <v>#N/A</v>
      </c>
      <c r="E16" s="20" t="e">
        <f>VLOOKUP(B16,Sheet3!B:E,4,0)</f>
        <v>#N/A</v>
      </c>
      <c r="F16" s="11" t="s">
        <v>38</v>
      </c>
      <c r="G16" s="4"/>
    </row>
    <row r="17" spans="1:7" ht="24.95" customHeight="1" x14ac:dyDescent="0.25">
      <c r="A17" s="3"/>
      <c r="B17" s="68">
        <f>'Seating Plan'!F287</f>
        <v>0</v>
      </c>
      <c r="C17" s="20" t="e">
        <f>VLOOKUP(B17,Sheet3!B:E,2,0)</f>
        <v>#N/A</v>
      </c>
      <c r="D17" s="20" t="e">
        <f>VLOOKUP(B17,Sheet3!B:E,3,0)</f>
        <v>#N/A</v>
      </c>
      <c r="E17" s="20" t="e">
        <f>VLOOKUP(B17,Sheet3!B:E,4,0)</f>
        <v>#N/A</v>
      </c>
      <c r="F17" s="11" t="s">
        <v>39</v>
      </c>
      <c r="G17" s="4"/>
    </row>
    <row r="18" spans="1:7" ht="27" customHeight="1" x14ac:dyDescent="0.25">
      <c r="A18" s="3"/>
      <c r="B18" s="68">
        <f>'Seating Plan'!F288</f>
        <v>0</v>
      </c>
      <c r="C18" s="20" t="e">
        <f>VLOOKUP(B18,Sheet3!B:E,2,0)</f>
        <v>#N/A</v>
      </c>
      <c r="D18" s="20" t="e">
        <f>VLOOKUP(B18,Sheet3!B:E,3,0)</f>
        <v>#N/A</v>
      </c>
      <c r="E18" s="20" t="e">
        <f>VLOOKUP(B18,Sheet3!B:E,4,0)</f>
        <v>#N/A</v>
      </c>
      <c r="F18" s="11" t="s">
        <v>40</v>
      </c>
      <c r="G18" s="4"/>
    </row>
    <row r="19" spans="1:7" ht="24.95" customHeight="1" x14ac:dyDescent="0.25">
      <c r="A19" s="3"/>
      <c r="B19" s="68">
        <f>'Seating Plan'!F289</f>
        <v>0</v>
      </c>
      <c r="C19" s="20" t="e">
        <f>VLOOKUP(B19,Sheet3!B:E,2,0)</f>
        <v>#N/A</v>
      </c>
      <c r="D19" s="20" t="e">
        <f>VLOOKUP(B19,Sheet3!B:E,3,0)</f>
        <v>#N/A</v>
      </c>
      <c r="E19" s="20" t="e">
        <f>VLOOKUP(B19,Sheet3!B:E,4,0)</f>
        <v>#N/A</v>
      </c>
      <c r="F19" s="11" t="s">
        <v>41</v>
      </c>
      <c r="G19" s="4"/>
    </row>
    <row r="20" spans="1:7" ht="24.95" customHeight="1" x14ac:dyDescent="0.25">
      <c r="A20" s="3"/>
      <c r="B20" s="68">
        <f>'Seating Plan'!F290</f>
        <v>0</v>
      </c>
      <c r="C20" s="20" t="e">
        <f>VLOOKUP(B20,Sheet3!B:E,2,0)</f>
        <v>#N/A</v>
      </c>
      <c r="D20" s="20" t="e">
        <f>VLOOKUP(B20,Sheet3!B:E,3,0)</f>
        <v>#N/A</v>
      </c>
      <c r="E20" s="20" t="e">
        <f>VLOOKUP(B20,Sheet3!B:E,4,0)</f>
        <v>#N/A</v>
      </c>
      <c r="F20" s="11" t="s">
        <v>42</v>
      </c>
      <c r="G20" s="4"/>
    </row>
    <row r="21" spans="1:7" ht="24.95" hidden="1" customHeight="1" x14ac:dyDescent="0.25">
      <c r="A21" s="3"/>
      <c r="B21" s="68" t="str">
        <f>'Seating Plan'!F291</f>
        <v xml:space="preserve">BTCS24O1017 </v>
      </c>
      <c r="C21" s="6"/>
      <c r="D21" s="11"/>
      <c r="E21" s="11"/>
      <c r="F21" s="11"/>
      <c r="G21" s="4"/>
    </row>
    <row r="22" spans="1:7" ht="24.95" hidden="1" customHeight="1" x14ac:dyDescent="0.25">
      <c r="A22" s="3"/>
      <c r="B22" s="68" t="str">
        <f>'Seating Plan'!F292</f>
        <v xml:space="preserve">BTCS24O1018 </v>
      </c>
      <c r="C22" s="6"/>
      <c r="D22" s="11"/>
      <c r="E22" s="11"/>
      <c r="F22" s="11"/>
      <c r="G22" s="4"/>
    </row>
    <row r="25" spans="1:7" ht="20.25" x14ac:dyDescent="0.3">
      <c r="A25" s="94" t="s">
        <v>24</v>
      </c>
      <c r="B25" s="94"/>
      <c r="C25" s="94"/>
      <c r="D25" s="94"/>
      <c r="E25" s="94"/>
      <c r="F25" s="94"/>
      <c r="G25" s="94"/>
    </row>
    <row r="26" spans="1:7" ht="20.25" x14ac:dyDescent="0.3">
      <c r="A26" s="94" t="s">
        <v>25</v>
      </c>
      <c r="B26" s="94"/>
      <c r="C26" s="94"/>
      <c r="D26" s="94"/>
      <c r="E26" s="94"/>
      <c r="F26" s="94"/>
      <c r="G26" s="94"/>
    </row>
    <row r="27" spans="1:7" x14ac:dyDescent="0.25">
      <c r="A27" s="82" t="s">
        <v>20</v>
      </c>
      <c r="B27" s="82"/>
      <c r="C27" s="82"/>
      <c r="D27" s="82"/>
      <c r="E27" s="82"/>
      <c r="F27" s="82"/>
      <c r="G27" s="82"/>
    </row>
    <row r="28" spans="1:7" x14ac:dyDescent="0.25">
      <c r="A28" s="82" t="s">
        <v>21</v>
      </c>
      <c r="B28" s="82"/>
      <c r="C28" s="82"/>
      <c r="D28" s="82"/>
      <c r="E28" s="82"/>
      <c r="F28" s="82"/>
      <c r="G28" s="82"/>
    </row>
    <row r="29" spans="1:7" x14ac:dyDescent="0.25">
      <c r="A29" s="82" t="s">
        <v>12</v>
      </c>
      <c r="B29" s="82"/>
      <c r="C29" s="82"/>
      <c r="D29" s="82"/>
      <c r="E29" s="82"/>
      <c r="F29" s="82"/>
      <c r="G29" s="82"/>
    </row>
    <row r="30" spans="1:7" x14ac:dyDescent="0.25">
      <c r="A30" s="82" t="s">
        <v>0</v>
      </c>
      <c r="B30" s="82"/>
      <c r="C30" s="82"/>
      <c r="D30" s="82"/>
      <c r="E30" s="82"/>
      <c r="F30" s="82"/>
      <c r="G30" s="82"/>
    </row>
    <row r="31" spans="1:7" x14ac:dyDescent="0.25">
      <c r="A31" s="2" t="s">
        <v>156</v>
      </c>
      <c r="B31" s="2"/>
      <c r="C31" s="18" t="e">
        <f>VLOOKUP(D34,Sheet3!G:H,2,0)</f>
        <v>#N/A</v>
      </c>
      <c r="E31" s="2"/>
      <c r="F31" s="2"/>
      <c r="G31" s="10" t="str">
        <f>'Seating Plan'!D$3</f>
        <v>08.04.2026</v>
      </c>
    </row>
    <row r="32" spans="1:7" ht="18.75" customHeight="1" x14ac:dyDescent="0.25">
      <c r="G32" s="10" t="str">
        <f>'Seating Plan'!G$4</f>
        <v>Shift:I (10:00 to 11:00 AM)</v>
      </c>
    </row>
    <row r="33" spans="1:7" ht="30" customHeight="1" x14ac:dyDescent="0.25">
      <c r="A33" s="26" t="s">
        <v>1</v>
      </c>
      <c r="B33" s="26" t="s">
        <v>3</v>
      </c>
      <c r="C33" s="26" t="s">
        <v>2</v>
      </c>
      <c r="D33" s="26" t="s">
        <v>19</v>
      </c>
      <c r="E33" s="26" t="s">
        <v>4</v>
      </c>
      <c r="F33" s="26" t="s">
        <v>18</v>
      </c>
      <c r="G33" s="26" t="s">
        <v>5</v>
      </c>
    </row>
    <row r="34" spans="1:7" ht="24.95" customHeight="1" x14ac:dyDescent="0.25">
      <c r="A34" s="25"/>
      <c r="B34" s="68">
        <f>'Seating Plan'!H280</f>
        <v>0</v>
      </c>
      <c r="C34" s="20" t="e">
        <f>VLOOKUP(B34,Sheet3!B:E,2,0)</f>
        <v>#N/A</v>
      </c>
      <c r="D34" s="20" t="e">
        <f>VLOOKUP(B34,Sheet3!B:E,3,0)</f>
        <v>#N/A</v>
      </c>
      <c r="E34" s="20" t="e">
        <f>VLOOKUP(B34,Sheet3!B:E,4,0)</f>
        <v>#N/A</v>
      </c>
      <c r="F34" s="29" t="s">
        <v>47</v>
      </c>
      <c r="G34" s="4"/>
    </row>
    <row r="35" spans="1:7" ht="24.95" customHeight="1" x14ac:dyDescent="0.25">
      <c r="A35" s="25"/>
      <c r="B35" s="68">
        <f>'Seating Plan'!H281</f>
        <v>0</v>
      </c>
      <c r="C35" s="20" t="e">
        <f>VLOOKUP(B35,Sheet3!B:E,2,0)</f>
        <v>#N/A</v>
      </c>
      <c r="D35" s="20" t="e">
        <f>VLOOKUP(B35,Sheet3!B:E,3,0)</f>
        <v>#N/A</v>
      </c>
      <c r="E35" s="20" t="e">
        <f>VLOOKUP(B35,Sheet3!B:E,4,0)</f>
        <v>#N/A</v>
      </c>
      <c r="F35" s="29" t="s">
        <v>48</v>
      </c>
      <c r="G35" s="4"/>
    </row>
    <row r="36" spans="1:7" ht="24.95" customHeight="1" x14ac:dyDescent="0.25">
      <c r="A36" s="25"/>
      <c r="B36" s="68">
        <f>'Seating Plan'!H282</f>
        <v>0</v>
      </c>
      <c r="C36" s="20" t="e">
        <f>VLOOKUP(B36,Sheet3!B:E,2,0)</f>
        <v>#N/A</v>
      </c>
      <c r="D36" s="20" t="e">
        <f>VLOOKUP(B36,Sheet3!B:E,3,0)</f>
        <v>#N/A</v>
      </c>
      <c r="E36" s="20" t="e">
        <f>VLOOKUP(B36,Sheet3!B:E,4,0)</f>
        <v>#N/A</v>
      </c>
      <c r="F36" s="29" t="s">
        <v>49</v>
      </c>
      <c r="G36" s="4"/>
    </row>
    <row r="37" spans="1:7" ht="24.95" customHeight="1" x14ac:dyDescent="0.25">
      <c r="A37" s="25"/>
      <c r="B37" s="68">
        <f>'Seating Plan'!H283</f>
        <v>0</v>
      </c>
      <c r="C37" s="20" t="e">
        <f>VLOOKUP(B37,Sheet3!B:E,2,0)</f>
        <v>#N/A</v>
      </c>
      <c r="D37" s="20" t="e">
        <f>VLOOKUP(B37,Sheet3!B:E,3,0)</f>
        <v>#N/A</v>
      </c>
      <c r="E37" s="20" t="e">
        <f>VLOOKUP(B37,Sheet3!B:E,4,0)</f>
        <v>#N/A</v>
      </c>
      <c r="F37" s="29" t="s">
        <v>50</v>
      </c>
      <c r="G37" s="4"/>
    </row>
    <row r="38" spans="1:7" ht="24.95" customHeight="1" x14ac:dyDescent="0.25">
      <c r="A38" s="25"/>
      <c r="B38" s="68">
        <f>'Seating Plan'!H284</f>
        <v>0</v>
      </c>
      <c r="C38" s="20" t="e">
        <f>VLOOKUP(B38,Sheet3!B:E,2,0)</f>
        <v>#N/A</v>
      </c>
      <c r="D38" s="20" t="e">
        <f>VLOOKUP(B38,Sheet3!B:E,3,0)</f>
        <v>#N/A</v>
      </c>
      <c r="E38" s="20" t="e">
        <f>VLOOKUP(B38,Sheet3!B:E,4,0)</f>
        <v>#N/A</v>
      </c>
      <c r="F38" s="29" t="s">
        <v>51</v>
      </c>
      <c r="G38" s="4"/>
    </row>
    <row r="39" spans="1:7" ht="24.95" customHeight="1" x14ac:dyDescent="0.25">
      <c r="A39" s="25"/>
      <c r="B39" s="68">
        <f>'Seating Plan'!H285</f>
        <v>0</v>
      </c>
      <c r="C39" s="20" t="e">
        <f>VLOOKUP(B39,Sheet3!B:E,2,0)</f>
        <v>#N/A</v>
      </c>
      <c r="D39" s="20" t="e">
        <f>VLOOKUP(B39,Sheet3!B:E,3,0)</f>
        <v>#N/A</v>
      </c>
      <c r="E39" s="20" t="e">
        <f>VLOOKUP(B39,Sheet3!B:E,4,0)</f>
        <v>#N/A</v>
      </c>
      <c r="F39" s="29" t="s">
        <v>46</v>
      </c>
      <c r="G39" s="4"/>
    </row>
    <row r="40" spans="1:7" ht="24.95" customHeight="1" x14ac:dyDescent="0.25">
      <c r="A40" s="25"/>
      <c r="B40" s="68">
        <f>'Seating Plan'!H286</f>
        <v>0</v>
      </c>
      <c r="C40" s="20" t="e">
        <f>VLOOKUP(B40,Sheet3!B:E,2,0)</f>
        <v>#N/A</v>
      </c>
      <c r="D40" s="20" t="e">
        <f>VLOOKUP(B40,Sheet3!B:E,3,0)</f>
        <v>#N/A</v>
      </c>
      <c r="E40" s="20" t="e">
        <f>VLOOKUP(B40,Sheet3!B:E,4,0)</f>
        <v>#N/A</v>
      </c>
      <c r="F40" s="29" t="s">
        <v>52</v>
      </c>
      <c r="G40" s="4"/>
    </row>
    <row r="41" spans="1:7" ht="24.95" customHeight="1" x14ac:dyDescent="0.25">
      <c r="A41" s="25"/>
      <c r="B41" s="68">
        <f>'Seating Plan'!H287</f>
        <v>0</v>
      </c>
      <c r="C41" s="20" t="e">
        <f>VLOOKUP(B41,Sheet3!B:E,2,0)</f>
        <v>#N/A</v>
      </c>
      <c r="D41" s="20" t="e">
        <f>VLOOKUP(B41,Sheet3!B:E,3,0)</f>
        <v>#N/A</v>
      </c>
      <c r="E41" s="20" t="e">
        <f>VLOOKUP(B41,Sheet3!B:E,4,0)</f>
        <v>#N/A</v>
      </c>
      <c r="F41" s="29" t="s">
        <v>53</v>
      </c>
      <c r="G41" s="4"/>
    </row>
    <row r="42" spans="1:7" ht="24.95" customHeight="1" x14ac:dyDescent="0.25">
      <c r="A42" s="25"/>
      <c r="B42" s="68">
        <f>'Seating Plan'!H288</f>
        <v>0</v>
      </c>
      <c r="C42" s="20" t="e">
        <f>VLOOKUP(B42,Sheet3!B:E,2,0)</f>
        <v>#N/A</v>
      </c>
      <c r="D42" s="20" t="e">
        <f>VLOOKUP(B42,Sheet3!B:E,3,0)</f>
        <v>#N/A</v>
      </c>
      <c r="E42" s="20" t="e">
        <f>VLOOKUP(B42,Sheet3!B:E,4,0)</f>
        <v>#N/A</v>
      </c>
      <c r="F42" s="29" t="s">
        <v>54</v>
      </c>
      <c r="G42" s="4"/>
    </row>
    <row r="43" spans="1:7" ht="24.95" customHeight="1" x14ac:dyDescent="0.25">
      <c r="A43" s="25"/>
      <c r="B43" s="68">
        <f>'Seating Plan'!H289</f>
        <v>0</v>
      </c>
      <c r="C43" s="20" t="e">
        <f>VLOOKUP(B43,Sheet3!B:E,2,0)</f>
        <v>#N/A</v>
      </c>
      <c r="D43" s="20" t="e">
        <f>VLOOKUP(B43,Sheet3!B:E,3,0)</f>
        <v>#N/A</v>
      </c>
      <c r="E43" s="20" t="e">
        <f>VLOOKUP(B43,Sheet3!B:E,4,0)</f>
        <v>#N/A</v>
      </c>
      <c r="F43" s="29" t="s">
        <v>55</v>
      </c>
      <c r="G43" s="4"/>
    </row>
    <row r="44" spans="1:7" ht="24.95" customHeight="1" x14ac:dyDescent="0.25">
      <c r="A44" s="25"/>
      <c r="B44" s="68">
        <f>'Seating Plan'!H290</f>
        <v>0</v>
      </c>
      <c r="C44" s="20" t="e">
        <f>VLOOKUP(B44,Sheet3!B:E,2,0)</f>
        <v>#N/A</v>
      </c>
      <c r="D44" s="20" t="e">
        <f>VLOOKUP(B44,Sheet3!B:E,3,0)</f>
        <v>#N/A</v>
      </c>
      <c r="E44" s="20" t="e">
        <f>VLOOKUP(B44,Sheet3!B:E,4,0)</f>
        <v>#N/A</v>
      </c>
      <c r="F44" s="29" t="s">
        <v>56</v>
      </c>
      <c r="G44" s="4"/>
    </row>
  </sheetData>
  <mergeCells count="12">
    <mergeCell ref="A30:G30"/>
    <mergeCell ref="A1:G1"/>
    <mergeCell ref="A2:G2"/>
    <mergeCell ref="A3:G3"/>
    <mergeCell ref="A4:G4"/>
    <mergeCell ref="A5:G5"/>
    <mergeCell ref="A6:G6"/>
    <mergeCell ref="A25:G25"/>
    <mergeCell ref="A26:G26"/>
    <mergeCell ref="A27:G27"/>
    <mergeCell ref="A28:G28"/>
    <mergeCell ref="A29:G29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orientation="portrait" r:id="rId1"/>
  <headerFooter>
    <oddFooter>&amp;L
Technical Staff Name and Sign&amp;C
Total Present:
Total Absent:&amp;R
Invigilator Name and Sign
Invigilator Name and Sign</oddFooter>
  </headerFooter>
  <rowBreaks count="1" manualBreakCount="1">
    <brk id="24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08D3-C2F7-4A43-8915-B4961233139F}">
  <dimension ref="A1:G37"/>
  <sheetViews>
    <sheetView zoomScaleNormal="100" workbookViewId="0">
      <selection activeCell="A7" sqref="A7"/>
    </sheetView>
  </sheetViews>
  <sheetFormatPr defaultColWidth="13.7109375" defaultRowHeight="15" x14ac:dyDescent="0.25"/>
  <cols>
    <col min="1" max="1" width="8.42578125" style="1" customWidth="1"/>
    <col min="2" max="2" width="15.42578125" style="1" customWidth="1"/>
    <col min="3" max="3" width="19.42578125" style="1" customWidth="1"/>
    <col min="4" max="5" width="13.7109375" style="1"/>
    <col min="6" max="6" width="10.42578125" style="1" customWidth="1"/>
    <col min="7" max="7" width="17.85546875" style="1" customWidth="1"/>
    <col min="8" max="16384" width="13.7109375" style="1"/>
  </cols>
  <sheetData>
    <row r="1" spans="1:7" ht="20.25" x14ac:dyDescent="0.3">
      <c r="A1" s="94" t="s">
        <v>24</v>
      </c>
      <c r="B1" s="94"/>
      <c r="C1" s="94"/>
      <c r="D1" s="94"/>
      <c r="E1" s="94"/>
      <c r="F1" s="94"/>
      <c r="G1" s="94"/>
    </row>
    <row r="2" spans="1:7" ht="20.25" x14ac:dyDescent="0.3">
      <c r="A2" s="94" t="s">
        <v>25</v>
      </c>
      <c r="B2" s="94"/>
      <c r="C2" s="94"/>
      <c r="D2" s="94"/>
      <c r="E2" s="94"/>
      <c r="F2" s="94"/>
      <c r="G2" s="94"/>
    </row>
    <row r="3" spans="1:7" x14ac:dyDescent="0.25">
      <c r="A3" s="82" t="s">
        <v>20</v>
      </c>
      <c r="B3" s="82"/>
      <c r="C3" s="82"/>
      <c r="D3" s="82"/>
      <c r="E3" s="82"/>
      <c r="F3" s="82"/>
      <c r="G3" s="82"/>
    </row>
    <row r="4" spans="1:7" x14ac:dyDescent="0.25">
      <c r="A4" s="82" t="s">
        <v>21</v>
      </c>
      <c r="B4" s="82"/>
      <c r="C4" s="82"/>
      <c r="D4" s="82"/>
      <c r="E4" s="82"/>
      <c r="F4" s="82"/>
      <c r="G4" s="82"/>
    </row>
    <row r="5" spans="1:7" x14ac:dyDescent="0.25">
      <c r="A5" s="82" t="s">
        <v>14</v>
      </c>
      <c r="B5" s="82"/>
      <c r="C5" s="82"/>
      <c r="D5" s="82"/>
      <c r="E5" s="82"/>
      <c r="F5" s="82"/>
      <c r="G5" s="82"/>
    </row>
    <row r="6" spans="1:7" x14ac:dyDescent="0.25">
      <c r="A6" s="82" t="s">
        <v>0</v>
      </c>
      <c r="B6" s="82"/>
      <c r="C6" s="82"/>
      <c r="D6" s="82"/>
      <c r="E6" s="82"/>
      <c r="F6" s="82"/>
      <c r="G6" s="82"/>
    </row>
    <row r="7" spans="1:7" ht="22.5" customHeight="1" x14ac:dyDescent="0.25">
      <c r="A7" s="2" t="s">
        <v>156</v>
      </c>
      <c r="C7" s="18" t="e">
        <f>VLOOKUP(D10,Sheet3!G:H,2,0)</f>
        <v>#N/A</v>
      </c>
      <c r="G7" s="10" t="str">
        <f>'Seating Plan'!D$3</f>
        <v>08.04.2026</v>
      </c>
    </row>
    <row r="8" spans="1:7" ht="21.95" customHeight="1" x14ac:dyDescent="0.25">
      <c r="G8" s="10" t="str">
        <f>'Seating Plan'!G$4</f>
        <v>Shift:I (10:00 to 11:00 AM)</v>
      </c>
    </row>
    <row r="9" spans="1:7" ht="24.6" customHeight="1" x14ac:dyDescent="0.25">
      <c r="A9" s="5" t="s">
        <v>1</v>
      </c>
      <c r="B9" s="5" t="s">
        <v>3</v>
      </c>
      <c r="C9" s="5" t="s">
        <v>2</v>
      </c>
      <c r="D9" s="5" t="s">
        <v>19</v>
      </c>
      <c r="E9" s="5" t="s">
        <v>4</v>
      </c>
      <c r="F9" s="5" t="s">
        <v>18</v>
      </c>
      <c r="G9" s="5" t="s">
        <v>5</v>
      </c>
    </row>
    <row r="10" spans="1:7" ht="23.1" customHeight="1" x14ac:dyDescent="0.25">
      <c r="A10" s="3"/>
      <c r="B10" s="68">
        <f>'Seating Plan'!F311</f>
        <v>0</v>
      </c>
      <c r="C10" s="20" t="e">
        <f>VLOOKUP(B10,Sheet3!B:E,2,0)</f>
        <v>#N/A</v>
      </c>
      <c r="D10" s="20" t="e">
        <f>VLOOKUP(B10,Sheet3!B:E,3,0)</f>
        <v>#N/A</v>
      </c>
      <c r="E10" s="20" t="e">
        <f>VLOOKUP(B10,Sheet3!B:E,4,0)</f>
        <v>#N/A</v>
      </c>
      <c r="F10" s="11" t="s">
        <v>32</v>
      </c>
      <c r="G10" s="4"/>
    </row>
    <row r="11" spans="1:7" ht="23.1" customHeight="1" x14ac:dyDescent="0.25">
      <c r="A11" s="3"/>
      <c r="B11" s="68">
        <f>'Seating Plan'!F312</f>
        <v>0</v>
      </c>
      <c r="C11" s="20" t="e">
        <f>VLOOKUP(B11,Sheet3!B:E,2,0)</f>
        <v>#N/A</v>
      </c>
      <c r="D11" s="20" t="e">
        <f>VLOOKUP(B11,Sheet3!B:E,3,0)</f>
        <v>#N/A</v>
      </c>
      <c r="E11" s="20" t="e">
        <f>VLOOKUP(B11,Sheet3!B:E,4,0)</f>
        <v>#N/A</v>
      </c>
      <c r="F11" s="11" t="s">
        <v>33</v>
      </c>
      <c r="G11" s="4"/>
    </row>
    <row r="12" spans="1:7" ht="23.1" customHeight="1" x14ac:dyDescent="0.25">
      <c r="A12" s="3"/>
      <c r="B12" s="68">
        <f>'Seating Plan'!F313</f>
        <v>0</v>
      </c>
      <c r="C12" s="20" t="e">
        <f>VLOOKUP(B12,Sheet3!B:E,2,0)</f>
        <v>#N/A</v>
      </c>
      <c r="D12" s="20" t="e">
        <f>VLOOKUP(B12,Sheet3!B:E,3,0)</f>
        <v>#N/A</v>
      </c>
      <c r="E12" s="20" t="e">
        <f>VLOOKUP(B12,Sheet3!B:E,4,0)</f>
        <v>#N/A</v>
      </c>
      <c r="F12" s="11" t="s">
        <v>34</v>
      </c>
      <c r="G12" s="4"/>
    </row>
    <row r="13" spans="1:7" ht="23.1" customHeight="1" x14ac:dyDescent="0.25">
      <c r="A13" s="3"/>
      <c r="B13" s="68">
        <f>'Seating Plan'!F314</f>
        <v>0</v>
      </c>
      <c r="C13" s="20" t="e">
        <f>VLOOKUP(B13,Sheet3!B:E,2,0)</f>
        <v>#N/A</v>
      </c>
      <c r="D13" s="20" t="e">
        <f>VLOOKUP(B13,Sheet3!B:E,3,0)</f>
        <v>#N/A</v>
      </c>
      <c r="E13" s="20" t="e">
        <f>VLOOKUP(B13,Sheet3!B:E,4,0)</f>
        <v>#N/A</v>
      </c>
      <c r="F13" s="11" t="s">
        <v>35</v>
      </c>
      <c r="G13" s="4"/>
    </row>
    <row r="14" spans="1:7" ht="23.1" customHeight="1" x14ac:dyDescent="0.25">
      <c r="A14" s="3"/>
      <c r="B14" s="68">
        <f>'Seating Plan'!F315</f>
        <v>0</v>
      </c>
      <c r="C14" s="20" t="e">
        <f>VLOOKUP(B14,Sheet3!B:E,2,0)</f>
        <v>#N/A</v>
      </c>
      <c r="D14" s="20" t="e">
        <f>VLOOKUP(B14,Sheet3!B:E,3,0)</f>
        <v>#N/A</v>
      </c>
      <c r="E14" s="20" t="e">
        <f>VLOOKUP(B14,Sheet3!B:E,4,0)</f>
        <v>#N/A</v>
      </c>
      <c r="F14" s="11" t="s">
        <v>36</v>
      </c>
      <c r="G14" s="4"/>
    </row>
    <row r="15" spans="1:7" ht="23.1" customHeight="1" x14ac:dyDescent="0.25">
      <c r="A15" s="3"/>
      <c r="B15" s="68">
        <f>'Seating Plan'!F316</f>
        <v>0</v>
      </c>
      <c r="C15" s="20" t="e">
        <f>VLOOKUP(B15,Sheet3!B:E,2,0)</f>
        <v>#N/A</v>
      </c>
      <c r="D15" s="20" t="e">
        <f>VLOOKUP(B15,Sheet3!B:E,3,0)</f>
        <v>#N/A</v>
      </c>
      <c r="E15" s="20" t="e">
        <f>VLOOKUP(B15,Sheet3!B:E,4,0)</f>
        <v>#N/A</v>
      </c>
      <c r="F15" s="11" t="s">
        <v>37</v>
      </c>
      <c r="G15" s="4"/>
    </row>
    <row r="16" spans="1:7" ht="23.1" customHeight="1" x14ac:dyDescent="0.25">
      <c r="A16" s="3"/>
      <c r="B16" s="68">
        <f>'Seating Plan'!F317</f>
        <v>0</v>
      </c>
      <c r="C16" s="20" t="e">
        <f>VLOOKUP(B16,Sheet3!B:E,2,0)</f>
        <v>#N/A</v>
      </c>
      <c r="D16" s="20" t="e">
        <f>VLOOKUP(B16,Sheet3!B:E,3,0)</f>
        <v>#N/A</v>
      </c>
      <c r="E16" s="20" t="e">
        <f>VLOOKUP(B16,Sheet3!B:E,4,0)</f>
        <v>#N/A</v>
      </c>
      <c r="F16" s="11" t="s">
        <v>38</v>
      </c>
      <c r="G16" s="4"/>
    </row>
    <row r="17" spans="1:7" ht="23.1" customHeight="1" x14ac:dyDescent="0.25">
      <c r="A17" s="3"/>
      <c r="B17" s="68">
        <f>'Seating Plan'!F318</f>
        <v>0</v>
      </c>
      <c r="C17" s="20" t="e">
        <f>VLOOKUP(B17,Sheet3!B:E,2,0)</f>
        <v>#N/A</v>
      </c>
      <c r="D17" s="20" t="e">
        <f>VLOOKUP(B17,Sheet3!B:E,3,0)</f>
        <v>#N/A</v>
      </c>
      <c r="E17" s="20" t="e">
        <f>VLOOKUP(B17,Sheet3!B:E,4,0)</f>
        <v>#N/A</v>
      </c>
      <c r="F17" s="11" t="s">
        <v>39</v>
      </c>
      <c r="G17" s="4"/>
    </row>
    <row r="18" spans="1:7" ht="23.1" customHeight="1" x14ac:dyDescent="0.25">
      <c r="A18" s="3"/>
      <c r="B18" s="68">
        <f>'Seating Plan'!F319</f>
        <v>0</v>
      </c>
      <c r="C18" s="20" t="e">
        <f>VLOOKUP(B18,Sheet3!B:E,2,0)</f>
        <v>#N/A</v>
      </c>
      <c r="D18" s="20" t="e">
        <f>VLOOKUP(B18,Sheet3!B:E,3,0)</f>
        <v>#N/A</v>
      </c>
      <c r="E18" s="20" t="e">
        <f>VLOOKUP(B18,Sheet3!B:E,4,0)</f>
        <v>#N/A</v>
      </c>
      <c r="F18" s="11" t="s">
        <v>40</v>
      </c>
      <c r="G18" s="4"/>
    </row>
    <row r="22" spans="1:7" ht="20.100000000000001" customHeight="1" x14ac:dyDescent="0.3">
      <c r="A22" s="94" t="s">
        <v>24</v>
      </c>
      <c r="B22" s="94"/>
      <c r="C22" s="94"/>
      <c r="D22" s="94"/>
      <c r="E22" s="94"/>
      <c r="F22" s="94"/>
      <c r="G22" s="94"/>
    </row>
    <row r="23" spans="1:7" ht="20.100000000000001" customHeight="1" x14ac:dyDescent="0.3">
      <c r="A23" s="94" t="s">
        <v>25</v>
      </c>
      <c r="B23" s="94"/>
      <c r="C23" s="94"/>
      <c r="D23" s="94"/>
      <c r="E23" s="94"/>
      <c r="F23" s="94"/>
      <c r="G23" s="94"/>
    </row>
    <row r="24" spans="1:7" ht="20.100000000000001" customHeight="1" x14ac:dyDescent="0.25">
      <c r="A24" s="82" t="s">
        <v>20</v>
      </c>
      <c r="B24" s="82"/>
      <c r="C24" s="82"/>
      <c r="D24" s="82"/>
      <c r="E24" s="82"/>
      <c r="F24" s="82"/>
      <c r="G24" s="82"/>
    </row>
    <row r="25" spans="1:7" ht="20.100000000000001" customHeight="1" x14ac:dyDescent="0.25">
      <c r="A25" s="82" t="s">
        <v>21</v>
      </c>
      <c r="B25" s="82"/>
      <c r="C25" s="82"/>
      <c r="D25" s="82"/>
      <c r="E25" s="82"/>
      <c r="F25" s="82"/>
      <c r="G25" s="82"/>
    </row>
    <row r="26" spans="1:7" ht="20.100000000000001" customHeight="1" x14ac:dyDescent="0.25">
      <c r="A26" s="82" t="s">
        <v>14</v>
      </c>
      <c r="B26" s="82"/>
      <c r="C26" s="82"/>
      <c r="D26" s="82"/>
      <c r="E26" s="82"/>
      <c r="F26" s="82"/>
      <c r="G26" s="82"/>
    </row>
    <row r="27" spans="1:7" ht="20.100000000000001" customHeight="1" x14ac:dyDescent="0.25">
      <c r="A27" s="82" t="s">
        <v>0</v>
      </c>
      <c r="B27" s="82"/>
      <c r="C27" s="82"/>
      <c r="D27" s="82"/>
      <c r="E27" s="82"/>
      <c r="F27" s="82"/>
      <c r="G27" s="82"/>
    </row>
    <row r="28" spans="1:7" ht="24.95" customHeight="1" x14ac:dyDescent="0.25">
      <c r="A28" s="2" t="s">
        <v>157</v>
      </c>
      <c r="C28" s="18" t="e">
        <f>VLOOKUP(D31,Sheet3!G:H,2,0)</f>
        <v>#N/A</v>
      </c>
      <c r="G28" s="10" t="str">
        <f>'Seating Plan'!D$3</f>
        <v>08.04.2026</v>
      </c>
    </row>
    <row r="29" spans="1:7" ht="24.95" customHeight="1" x14ac:dyDescent="0.25">
      <c r="G29" s="10" t="str">
        <f>'Seating Plan'!G$4</f>
        <v>Shift:I (10:00 to 11:00 AM)</v>
      </c>
    </row>
    <row r="30" spans="1:7" ht="24.95" customHeight="1" x14ac:dyDescent="0.25">
      <c r="A30" s="5" t="s">
        <v>1</v>
      </c>
      <c r="B30" s="5" t="s">
        <v>3</v>
      </c>
      <c r="C30" s="5" t="s">
        <v>2</v>
      </c>
      <c r="D30" s="5" t="s">
        <v>19</v>
      </c>
      <c r="E30" s="5" t="s">
        <v>4</v>
      </c>
      <c r="F30" s="5" t="s">
        <v>18</v>
      </c>
      <c r="G30" s="5" t="s">
        <v>5</v>
      </c>
    </row>
    <row r="31" spans="1:7" ht="24.95" customHeight="1" x14ac:dyDescent="0.25">
      <c r="A31" s="3"/>
      <c r="B31" s="68">
        <f>'Seating Plan'!H311</f>
        <v>0</v>
      </c>
      <c r="C31" s="20" t="e">
        <f>VLOOKUP(B31,Sheet3!B:E,2,0)</f>
        <v>#N/A</v>
      </c>
      <c r="D31" s="20" t="e">
        <f>VLOOKUP(B31,Sheet3!B:E,3,0)</f>
        <v>#N/A</v>
      </c>
      <c r="E31" s="20" t="e">
        <f>VLOOKUP(B31,Sheet3!B:E,4,0)</f>
        <v>#N/A</v>
      </c>
      <c r="F31" s="11" t="s">
        <v>47</v>
      </c>
      <c r="G31" s="4"/>
    </row>
    <row r="32" spans="1:7" ht="24.95" customHeight="1" x14ac:dyDescent="0.25">
      <c r="A32" s="3"/>
      <c r="B32" s="68">
        <f>'Seating Plan'!H312</f>
        <v>0</v>
      </c>
      <c r="C32" s="20" t="e">
        <f>VLOOKUP(B32,Sheet3!B:E,2,0)</f>
        <v>#N/A</v>
      </c>
      <c r="D32" s="20" t="e">
        <f>VLOOKUP(B32,Sheet3!B:E,3,0)</f>
        <v>#N/A</v>
      </c>
      <c r="E32" s="20" t="e">
        <f>VLOOKUP(B32,Sheet3!B:E,4,0)</f>
        <v>#N/A</v>
      </c>
      <c r="F32" s="11" t="s">
        <v>48</v>
      </c>
      <c r="G32" s="4"/>
    </row>
    <row r="33" spans="1:7" ht="24.95" customHeight="1" x14ac:dyDescent="0.25">
      <c r="A33" s="3"/>
      <c r="B33" s="68">
        <f>'Seating Plan'!H313</f>
        <v>0</v>
      </c>
      <c r="C33" s="20" t="e">
        <f>VLOOKUP(B33,Sheet3!B:E,2,0)</f>
        <v>#N/A</v>
      </c>
      <c r="D33" s="20" t="e">
        <f>VLOOKUP(B33,Sheet3!B:E,3,0)</f>
        <v>#N/A</v>
      </c>
      <c r="E33" s="20" t="e">
        <f>VLOOKUP(B33,Sheet3!B:E,4,0)</f>
        <v>#N/A</v>
      </c>
      <c r="F33" s="11" t="s">
        <v>49</v>
      </c>
      <c r="G33" s="4"/>
    </row>
    <row r="34" spans="1:7" ht="24.95" customHeight="1" x14ac:dyDescent="0.25">
      <c r="A34" s="3"/>
      <c r="B34" s="68">
        <f>'Seating Plan'!H314</f>
        <v>0</v>
      </c>
      <c r="C34" s="20" t="e">
        <f>VLOOKUP(B34,Sheet3!B:E,2,0)</f>
        <v>#N/A</v>
      </c>
      <c r="D34" s="20" t="e">
        <f>VLOOKUP(B34,Sheet3!B:E,3,0)</f>
        <v>#N/A</v>
      </c>
      <c r="E34" s="20" t="e">
        <f>VLOOKUP(B34,Sheet3!B:E,4,0)</f>
        <v>#N/A</v>
      </c>
      <c r="F34" s="11" t="s">
        <v>50</v>
      </c>
      <c r="G34" s="4"/>
    </row>
    <row r="35" spans="1:7" ht="24.95" customHeight="1" x14ac:dyDescent="0.25">
      <c r="A35" s="3"/>
      <c r="B35" s="68">
        <f>'Seating Plan'!H315</f>
        <v>0</v>
      </c>
      <c r="C35" s="20" t="e">
        <f>VLOOKUP(B35,Sheet3!B:E,2,0)</f>
        <v>#N/A</v>
      </c>
      <c r="D35" s="20" t="e">
        <f>VLOOKUP(B35,Sheet3!B:E,3,0)</f>
        <v>#N/A</v>
      </c>
      <c r="E35" s="20" t="e">
        <f>VLOOKUP(B35,Sheet3!B:E,4,0)</f>
        <v>#N/A</v>
      </c>
      <c r="F35" s="11" t="s">
        <v>51</v>
      </c>
      <c r="G35" s="4"/>
    </row>
    <row r="36" spans="1:7" ht="24.95" customHeight="1" x14ac:dyDescent="0.25">
      <c r="A36" s="3"/>
      <c r="B36" s="68">
        <f>'Seating Plan'!H316</f>
        <v>0</v>
      </c>
      <c r="C36" s="20" t="e">
        <f>VLOOKUP(B36,Sheet3!B:E,2,0)</f>
        <v>#N/A</v>
      </c>
      <c r="D36" s="20" t="e">
        <f>VLOOKUP(B36,Sheet3!B:E,3,0)</f>
        <v>#N/A</v>
      </c>
      <c r="E36" s="20" t="e">
        <f>VLOOKUP(B36,Sheet3!B:E,4,0)</f>
        <v>#N/A</v>
      </c>
      <c r="F36" s="11" t="s">
        <v>46</v>
      </c>
      <c r="G36" s="4"/>
    </row>
    <row r="37" spans="1:7" ht="24.95" customHeight="1" x14ac:dyDescent="0.25">
      <c r="A37" s="3"/>
      <c r="B37" s="68">
        <f>'Seating Plan'!H317</f>
        <v>0</v>
      </c>
      <c r="C37" s="20" t="e">
        <f>VLOOKUP(B37,Sheet3!B:E,2,0)</f>
        <v>#N/A</v>
      </c>
      <c r="D37" s="20" t="e">
        <f>VLOOKUP(B37,Sheet3!B:E,3,0)</f>
        <v>#N/A</v>
      </c>
      <c r="E37" s="20" t="e">
        <f>VLOOKUP(B37,Sheet3!B:E,4,0)</f>
        <v>#N/A</v>
      </c>
      <c r="F37" s="11" t="s">
        <v>52</v>
      </c>
      <c r="G37" s="4"/>
    </row>
  </sheetData>
  <mergeCells count="12">
    <mergeCell ref="A26:G26"/>
    <mergeCell ref="A27:G27"/>
    <mergeCell ref="A6:G6"/>
    <mergeCell ref="A22:G22"/>
    <mergeCell ref="A23:G23"/>
    <mergeCell ref="A24:G24"/>
    <mergeCell ref="A25:G25"/>
    <mergeCell ref="A1:G1"/>
    <mergeCell ref="A2:G2"/>
    <mergeCell ref="A3:G3"/>
    <mergeCell ref="A4:G4"/>
    <mergeCell ref="A5:G5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orientation="portrait" horizontalDpi="300" verticalDpi="300" r:id="rId1"/>
  <headerFooter>
    <oddFooter>&amp;L
Technical Staff Name and Sign&amp;C
Total Present:
Total Absent:&amp;R
Invigilator Name and Sign
Invigilator Name and Sign</oddFooter>
  </headerFooter>
  <rowBreaks count="1" manualBreakCount="1">
    <brk id="21" max="6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0951A-2C4C-463A-83FC-3BD23CBC5A19}">
  <dimension ref="A1:G41"/>
  <sheetViews>
    <sheetView zoomScaleNormal="100" workbookViewId="0">
      <selection activeCell="G29" sqref="G29"/>
    </sheetView>
  </sheetViews>
  <sheetFormatPr defaultColWidth="8.7109375" defaultRowHeight="15" x14ac:dyDescent="0.25"/>
  <cols>
    <col min="1" max="1" width="5.7109375" style="1" customWidth="1"/>
    <col min="2" max="2" width="15.85546875" style="1" customWidth="1"/>
    <col min="3" max="3" width="25.85546875" style="1" customWidth="1"/>
    <col min="4" max="5" width="12.42578125" style="1" customWidth="1"/>
    <col min="6" max="6" width="7.85546875" style="1" bestFit="1" customWidth="1"/>
    <col min="7" max="7" width="17" style="1" customWidth="1"/>
    <col min="8" max="16384" width="8.7109375" style="1"/>
  </cols>
  <sheetData>
    <row r="1" spans="1:7" ht="20.25" x14ac:dyDescent="0.3">
      <c r="A1" s="94" t="s">
        <v>24</v>
      </c>
      <c r="B1" s="94"/>
      <c r="C1" s="94"/>
      <c r="D1" s="94"/>
      <c r="E1" s="94"/>
      <c r="F1" s="94"/>
      <c r="G1" s="94"/>
    </row>
    <row r="2" spans="1:7" ht="20.25" x14ac:dyDescent="0.3">
      <c r="A2" s="94" t="s">
        <v>25</v>
      </c>
      <c r="B2" s="94"/>
      <c r="C2" s="94"/>
      <c r="D2" s="94"/>
      <c r="E2" s="94"/>
      <c r="F2" s="94"/>
      <c r="G2" s="94"/>
    </row>
    <row r="3" spans="1:7" x14ac:dyDescent="0.25">
      <c r="A3" s="82" t="s">
        <v>20</v>
      </c>
      <c r="B3" s="82"/>
      <c r="C3" s="82"/>
      <c r="D3" s="82"/>
      <c r="E3" s="82"/>
      <c r="F3" s="82"/>
      <c r="G3" s="82"/>
    </row>
    <row r="4" spans="1:7" x14ac:dyDescent="0.25">
      <c r="A4" s="82" t="s">
        <v>21</v>
      </c>
      <c r="B4" s="82"/>
      <c r="C4" s="82"/>
      <c r="D4" s="82"/>
      <c r="E4" s="82"/>
      <c r="F4" s="82"/>
      <c r="G4" s="82"/>
    </row>
    <row r="5" spans="1:7" ht="22.5" customHeight="1" x14ac:dyDescent="0.25">
      <c r="A5" s="82" t="s">
        <v>8</v>
      </c>
      <c r="B5" s="82"/>
      <c r="C5" s="82"/>
      <c r="D5" s="82"/>
      <c r="E5" s="82"/>
      <c r="F5" s="82"/>
      <c r="G5" s="82"/>
    </row>
    <row r="6" spans="1:7" ht="22.5" customHeight="1" x14ac:dyDescent="0.25">
      <c r="A6" s="82" t="s">
        <v>0</v>
      </c>
      <c r="B6" s="82"/>
      <c r="C6" s="82"/>
      <c r="D6" s="82"/>
      <c r="E6" s="82"/>
      <c r="F6" s="82"/>
      <c r="G6" s="82"/>
    </row>
    <row r="7" spans="1:7" ht="22.5" customHeight="1" x14ac:dyDescent="0.25">
      <c r="A7" s="2" t="s">
        <v>111</v>
      </c>
      <c r="G7" s="10" t="e">
        <f>#REF!</f>
        <v>#REF!</v>
      </c>
    </row>
    <row r="8" spans="1:7" ht="21.95" customHeight="1" x14ac:dyDescent="0.25">
      <c r="G8" s="10" t="e">
        <f>#REF!</f>
        <v>#REF!</v>
      </c>
    </row>
    <row r="9" spans="1:7" ht="23.1" customHeight="1" x14ac:dyDescent="0.25">
      <c r="A9" s="5" t="s">
        <v>1</v>
      </c>
      <c r="B9" s="5" t="s">
        <v>3</v>
      </c>
      <c r="C9" s="5" t="s">
        <v>2</v>
      </c>
      <c r="D9" s="5" t="s">
        <v>19</v>
      </c>
      <c r="E9" s="5" t="s">
        <v>4</v>
      </c>
      <c r="F9" s="5" t="s">
        <v>18</v>
      </c>
      <c r="G9" s="5" t="s">
        <v>5</v>
      </c>
    </row>
    <row r="10" spans="1:7" ht="23.1" customHeight="1" x14ac:dyDescent="0.25">
      <c r="A10" s="3"/>
      <c r="B10" s="20"/>
      <c r="C10" s="20"/>
      <c r="D10" s="20"/>
      <c r="E10" s="20"/>
      <c r="F10" s="9" t="s">
        <v>32</v>
      </c>
      <c r="G10" s="4"/>
    </row>
    <row r="11" spans="1:7" ht="23.1" customHeight="1" x14ac:dyDescent="0.25">
      <c r="A11" s="3"/>
      <c r="B11" s="20"/>
      <c r="C11" s="20"/>
      <c r="D11" s="20"/>
      <c r="E11" s="20"/>
      <c r="F11" s="9" t="s">
        <v>33</v>
      </c>
      <c r="G11" s="4"/>
    </row>
    <row r="12" spans="1:7" ht="23.1" customHeight="1" x14ac:dyDescent="0.25">
      <c r="A12" s="3"/>
      <c r="B12" s="20"/>
      <c r="C12" s="20"/>
      <c r="D12" s="20"/>
      <c r="E12" s="20"/>
      <c r="F12" s="9" t="s">
        <v>34</v>
      </c>
      <c r="G12" s="4"/>
    </row>
    <row r="13" spans="1:7" ht="23.1" customHeight="1" x14ac:dyDescent="0.25">
      <c r="A13" s="3"/>
      <c r="B13" s="20"/>
      <c r="C13" s="20"/>
      <c r="D13" s="20"/>
      <c r="E13" s="20"/>
      <c r="F13" s="9" t="s">
        <v>35</v>
      </c>
      <c r="G13" s="4"/>
    </row>
    <row r="14" spans="1:7" ht="23.1" customHeight="1" x14ac:dyDescent="0.25">
      <c r="A14" s="3"/>
      <c r="B14" s="20"/>
      <c r="C14" s="20"/>
      <c r="D14" s="20"/>
      <c r="E14" s="20"/>
      <c r="F14" s="9" t="s">
        <v>36</v>
      </c>
      <c r="G14" s="4"/>
    </row>
    <row r="15" spans="1:7" ht="23.1" customHeight="1" x14ac:dyDescent="0.25">
      <c r="A15" s="3"/>
      <c r="B15" s="20"/>
      <c r="C15" s="20"/>
      <c r="D15" s="20"/>
      <c r="E15" s="20"/>
      <c r="F15" s="9" t="s">
        <v>37</v>
      </c>
      <c r="G15" s="4"/>
    </row>
    <row r="16" spans="1:7" ht="23.1" customHeight="1" x14ac:dyDescent="0.25">
      <c r="A16" s="3"/>
      <c r="B16" s="20"/>
      <c r="C16" s="20"/>
      <c r="D16" s="20"/>
      <c r="E16" s="20"/>
      <c r="F16" s="9" t="s">
        <v>38</v>
      </c>
      <c r="G16" s="4"/>
    </row>
    <row r="17" spans="1:7" ht="23.1" customHeight="1" x14ac:dyDescent="0.25">
      <c r="A17" s="3"/>
      <c r="B17" s="20"/>
      <c r="C17" s="20"/>
      <c r="D17" s="20"/>
      <c r="E17" s="20"/>
      <c r="F17" s="9" t="s">
        <v>39</v>
      </c>
      <c r="G17" s="4"/>
    </row>
    <row r="18" spans="1:7" ht="23.1" customHeight="1" x14ac:dyDescent="0.25">
      <c r="A18" s="3"/>
      <c r="B18" s="20"/>
      <c r="C18" s="20"/>
      <c r="D18" s="20"/>
      <c r="E18" s="20"/>
      <c r="F18" s="9" t="s">
        <v>40</v>
      </c>
      <c r="G18" s="4"/>
    </row>
    <row r="19" spans="1:7" ht="23.1" customHeight="1" x14ac:dyDescent="0.25">
      <c r="A19" s="3"/>
      <c r="B19" s="20"/>
      <c r="C19" s="20"/>
      <c r="D19" s="20"/>
      <c r="E19" s="20"/>
      <c r="F19" s="9" t="s">
        <v>41</v>
      </c>
      <c r="G19" s="4"/>
    </row>
    <row r="23" spans="1:7" ht="20.25" x14ac:dyDescent="0.3">
      <c r="A23" s="94" t="s">
        <v>24</v>
      </c>
      <c r="B23" s="94"/>
      <c r="C23" s="94"/>
      <c r="D23" s="94"/>
      <c r="E23" s="94"/>
      <c r="F23" s="94"/>
      <c r="G23" s="94"/>
    </row>
    <row r="24" spans="1:7" ht="20.25" x14ac:dyDescent="0.3">
      <c r="A24" s="94" t="s">
        <v>25</v>
      </c>
      <c r="B24" s="94"/>
      <c r="C24" s="94"/>
      <c r="D24" s="94"/>
      <c r="E24" s="94"/>
      <c r="F24" s="94"/>
      <c r="G24" s="94"/>
    </row>
    <row r="25" spans="1:7" x14ac:dyDescent="0.25">
      <c r="A25" s="82" t="s">
        <v>20</v>
      </c>
      <c r="B25" s="82"/>
      <c r="C25" s="82"/>
      <c r="D25" s="82"/>
      <c r="E25" s="82"/>
      <c r="F25" s="82"/>
      <c r="G25" s="82"/>
    </row>
    <row r="26" spans="1:7" x14ac:dyDescent="0.25">
      <c r="A26" s="82" t="s">
        <v>21</v>
      </c>
      <c r="B26" s="82"/>
      <c r="C26" s="82"/>
      <c r="D26" s="82"/>
      <c r="E26" s="82"/>
      <c r="F26" s="82"/>
      <c r="G26" s="82"/>
    </row>
    <row r="27" spans="1:7" x14ac:dyDescent="0.25">
      <c r="A27" s="82" t="s">
        <v>8</v>
      </c>
      <c r="B27" s="82"/>
      <c r="C27" s="82"/>
      <c r="D27" s="82"/>
      <c r="E27" s="82"/>
      <c r="F27" s="82"/>
      <c r="G27" s="82"/>
    </row>
    <row r="28" spans="1:7" x14ac:dyDescent="0.25">
      <c r="A28" s="82" t="s">
        <v>0</v>
      </c>
      <c r="B28" s="82"/>
      <c r="C28" s="82"/>
      <c r="D28" s="82"/>
      <c r="E28" s="82"/>
      <c r="F28" s="82"/>
      <c r="G28" s="82"/>
    </row>
    <row r="29" spans="1:7" x14ac:dyDescent="0.25">
      <c r="A29" s="2" t="s">
        <v>112</v>
      </c>
      <c r="G29" s="10" t="e">
        <f>#REF!</f>
        <v>#REF!</v>
      </c>
    </row>
    <row r="30" spans="1:7" x14ac:dyDescent="0.25">
      <c r="G30" s="10" t="e">
        <f>#REF!</f>
        <v>#REF!</v>
      </c>
    </row>
    <row r="31" spans="1:7" x14ac:dyDescent="0.25">
      <c r="A31" s="5" t="s">
        <v>1</v>
      </c>
      <c r="B31" s="5" t="s">
        <v>3</v>
      </c>
      <c r="C31" s="5" t="s">
        <v>2</v>
      </c>
      <c r="D31" s="5" t="s">
        <v>19</v>
      </c>
      <c r="E31" s="5" t="s">
        <v>4</v>
      </c>
      <c r="F31" s="5" t="s">
        <v>18</v>
      </c>
      <c r="G31" s="5" t="s">
        <v>5</v>
      </c>
    </row>
    <row r="32" spans="1:7" ht="23.1" customHeight="1" x14ac:dyDescent="0.25">
      <c r="A32" s="3"/>
      <c r="B32" s="20"/>
      <c r="C32" s="20"/>
      <c r="D32" s="20"/>
      <c r="E32" s="20"/>
      <c r="F32" s="9" t="s">
        <v>47</v>
      </c>
      <c r="G32" s="4"/>
    </row>
    <row r="33" spans="1:7" ht="23.1" customHeight="1" x14ac:dyDescent="0.25">
      <c r="A33" s="3"/>
      <c r="B33" s="20"/>
      <c r="C33" s="20"/>
      <c r="D33" s="20"/>
      <c r="E33" s="20"/>
      <c r="F33" s="9" t="s">
        <v>48</v>
      </c>
      <c r="G33" s="4"/>
    </row>
    <row r="34" spans="1:7" ht="23.1" customHeight="1" x14ac:dyDescent="0.25">
      <c r="A34" s="3"/>
      <c r="B34" s="20"/>
      <c r="C34" s="20"/>
      <c r="D34" s="20"/>
      <c r="E34" s="20"/>
      <c r="F34" s="9" t="s">
        <v>49</v>
      </c>
      <c r="G34" s="4"/>
    </row>
    <row r="35" spans="1:7" ht="23.1" customHeight="1" x14ac:dyDescent="0.25">
      <c r="A35" s="3"/>
      <c r="B35" s="20"/>
      <c r="C35" s="20"/>
      <c r="D35" s="20"/>
      <c r="E35" s="20"/>
      <c r="F35" s="9" t="s">
        <v>50</v>
      </c>
      <c r="G35" s="4"/>
    </row>
    <row r="36" spans="1:7" ht="23.1" customHeight="1" x14ac:dyDescent="0.25">
      <c r="A36" s="3"/>
      <c r="B36" s="20"/>
      <c r="C36" s="20"/>
      <c r="D36" s="20"/>
      <c r="E36" s="20"/>
      <c r="F36" s="9" t="s">
        <v>51</v>
      </c>
      <c r="G36" s="4"/>
    </row>
    <row r="37" spans="1:7" ht="23.1" customHeight="1" x14ac:dyDescent="0.25">
      <c r="A37" s="3"/>
      <c r="B37" s="20"/>
      <c r="C37" s="20"/>
      <c r="D37" s="20"/>
      <c r="E37" s="20"/>
      <c r="F37" s="9" t="s">
        <v>46</v>
      </c>
      <c r="G37" s="4"/>
    </row>
    <row r="38" spans="1:7" ht="23.1" customHeight="1" x14ac:dyDescent="0.25">
      <c r="A38" s="3"/>
      <c r="B38" s="20"/>
      <c r="C38" s="20"/>
      <c r="D38" s="20"/>
      <c r="E38" s="20"/>
      <c r="F38" s="9" t="s">
        <v>52</v>
      </c>
      <c r="G38" s="4"/>
    </row>
    <row r="39" spans="1:7" ht="23.1" customHeight="1" x14ac:dyDescent="0.25">
      <c r="A39" s="3"/>
      <c r="B39" s="20"/>
      <c r="C39" s="20"/>
      <c r="D39" s="20"/>
      <c r="E39" s="20"/>
      <c r="F39" s="9" t="s">
        <v>53</v>
      </c>
      <c r="G39" s="4"/>
    </row>
    <row r="40" spans="1:7" ht="23.1" customHeight="1" x14ac:dyDescent="0.25">
      <c r="A40" s="3"/>
      <c r="B40" s="20"/>
      <c r="C40" s="20"/>
      <c r="D40" s="20"/>
      <c r="E40" s="20"/>
      <c r="F40" s="9" t="s">
        <v>54</v>
      </c>
      <c r="G40" s="4"/>
    </row>
    <row r="41" spans="1:7" ht="23.1" customHeight="1" x14ac:dyDescent="0.25">
      <c r="A41" s="3"/>
      <c r="B41" s="20"/>
      <c r="C41" s="20"/>
      <c r="D41" s="20"/>
      <c r="E41" s="20"/>
      <c r="F41" s="9" t="s">
        <v>55</v>
      </c>
      <c r="G41" s="4"/>
    </row>
  </sheetData>
  <mergeCells count="12">
    <mergeCell ref="A1:G1"/>
    <mergeCell ref="A2:G2"/>
    <mergeCell ref="A3:G3"/>
    <mergeCell ref="A26:G26"/>
    <mergeCell ref="A27:G27"/>
    <mergeCell ref="A28:G28"/>
    <mergeCell ref="A4:G4"/>
    <mergeCell ref="A5:G5"/>
    <mergeCell ref="A6:G6"/>
    <mergeCell ref="A23:G23"/>
    <mergeCell ref="A24:G24"/>
    <mergeCell ref="A25:G25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orientation="portrait" r:id="rId1"/>
  <headerFooter>
    <oddFooter>&amp;L
Technical Staff Name and Sign&amp;C
 Total Present:
Total Absent:&amp;R
Invigilator Name and Sign
Invigilator Name and Sign</oddFooter>
  </headerFooter>
  <rowBreaks count="1" manualBreakCount="1">
    <brk id="22" max="6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79C0-64AA-402E-854C-BB6122C89327}">
  <dimension ref="A1:G38"/>
  <sheetViews>
    <sheetView zoomScaleNormal="100" workbookViewId="0">
      <selection activeCell="A10" sqref="A10:A17"/>
    </sheetView>
  </sheetViews>
  <sheetFormatPr defaultColWidth="8.85546875" defaultRowHeight="15" x14ac:dyDescent="0.25"/>
  <cols>
    <col min="1" max="1" width="6.42578125" bestFit="1" customWidth="1"/>
    <col min="2" max="2" width="16" bestFit="1" customWidth="1"/>
    <col min="3" max="3" width="26.140625" customWidth="1"/>
    <col min="4" max="4" width="12.85546875" bestFit="1" customWidth="1"/>
    <col min="5" max="5" width="9.85546875" bestFit="1" customWidth="1"/>
    <col min="6" max="6" width="8.42578125" customWidth="1"/>
    <col min="7" max="7" width="17.42578125" customWidth="1"/>
  </cols>
  <sheetData>
    <row r="1" spans="1:7" ht="20.25" x14ac:dyDescent="0.3">
      <c r="A1" s="94" t="s">
        <v>24</v>
      </c>
      <c r="B1" s="94"/>
      <c r="C1" s="94"/>
      <c r="D1" s="94"/>
      <c r="E1" s="94"/>
      <c r="F1" s="94"/>
      <c r="G1" s="94"/>
    </row>
    <row r="2" spans="1:7" ht="20.25" x14ac:dyDescent="0.3">
      <c r="A2" s="94" t="s">
        <v>25</v>
      </c>
      <c r="B2" s="94"/>
      <c r="C2" s="94"/>
      <c r="D2" s="94"/>
      <c r="E2" s="94"/>
      <c r="F2" s="94"/>
      <c r="G2" s="94"/>
    </row>
    <row r="3" spans="1:7" x14ac:dyDescent="0.25">
      <c r="A3" s="82" t="s">
        <v>20</v>
      </c>
      <c r="B3" s="82"/>
      <c r="C3" s="82"/>
      <c r="D3" s="82"/>
      <c r="E3" s="82"/>
      <c r="F3" s="82"/>
      <c r="G3" s="82"/>
    </row>
    <row r="4" spans="1:7" x14ac:dyDescent="0.25">
      <c r="A4" s="82" t="s">
        <v>21</v>
      </c>
      <c r="B4" s="82"/>
      <c r="C4" s="82"/>
      <c r="D4" s="82"/>
      <c r="E4" s="82"/>
      <c r="F4" s="82"/>
      <c r="G4" s="82"/>
    </row>
    <row r="5" spans="1:7" x14ac:dyDescent="0.25">
      <c r="A5" s="83" t="s">
        <v>28</v>
      </c>
      <c r="B5" s="82"/>
      <c r="C5" s="82"/>
      <c r="D5" s="82"/>
      <c r="E5" s="82"/>
      <c r="F5" s="82"/>
      <c r="G5" s="82"/>
    </row>
    <row r="6" spans="1:7" x14ac:dyDescent="0.25">
      <c r="A6" s="82" t="s">
        <v>0</v>
      </c>
      <c r="B6" s="82"/>
      <c r="C6" s="82"/>
      <c r="D6" s="82"/>
      <c r="E6" s="82"/>
      <c r="F6" s="82"/>
      <c r="G6" s="82"/>
    </row>
    <row r="7" spans="1:7" x14ac:dyDescent="0.25">
      <c r="A7" s="2" t="s">
        <v>111</v>
      </c>
      <c r="B7" s="1"/>
      <c r="C7" s="1"/>
      <c r="D7" s="1"/>
      <c r="E7" s="1"/>
      <c r="F7" s="1"/>
      <c r="G7" s="10" t="e">
        <f>#REF!</f>
        <v>#REF!</v>
      </c>
    </row>
    <row r="8" spans="1:7" x14ac:dyDescent="0.25">
      <c r="A8" s="1"/>
      <c r="B8" s="1"/>
      <c r="C8" s="1"/>
      <c r="D8" s="1"/>
      <c r="E8" s="1"/>
      <c r="F8" s="1"/>
      <c r="G8" s="10" t="e">
        <f>#REF!</f>
        <v>#REF!</v>
      </c>
    </row>
    <row r="9" spans="1:7" ht="21" customHeight="1" x14ac:dyDescent="0.25">
      <c r="A9" s="33" t="s">
        <v>1</v>
      </c>
      <c r="B9" s="33" t="s">
        <v>3</v>
      </c>
      <c r="C9" s="33" t="s">
        <v>2</v>
      </c>
      <c r="D9" s="33" t="s">
        <v>19</v>
      </c>
      <c r="E9" s="33" t="s">
        <v>4</v>
      </c>
      <c r="F9" s="33" t="s">
        <v>18</v>
      </c>
      <c r="G9" s="33" t="s">
        <v>5</v>
      </c>
    </row>
    <row r="10" spans="1:7" ht="23.1" customHeight="1" x14ac:dyDescent="0.25">
      <c r="A10" s="3"/>
      <c r="B10" s="20"/>
      <c r="C10" s="20"/>
      <c r="D10" s="20"/>
      <c r="E10" s="20"/>
      <c r="F10" s="9" t="s">
        <v>32</v>
      </c>
      <c r="G10" s="4"/>
    </row>
    <row r="11" spans="1:7" ht="23.1" customHeight="1" x14ac:dyDescent="0.25">
      <c r="A11" s="3"/>
      <c r="B11" s="20"/>
      <c r="C11" s="20"/>
      <c r="D11" s="20"/>
      <c r="E11" s="20"/>
      <c r="F11" s="9" t="s">
        <v>33</v>
      </c>
      <c r="G11" s="4"/>
    </row>
    <row r="12" spans="1:7" ht="23.1" customHeight="1" x14ac:dyDescent="0.25">
      <c r="A12" s="3"/>
      <c r="B12" s="20"/>
      <c r="C12" s="20"/>
      <c r="D12" s="20"/>
      <c r="E12" s="20"/>
      <c r="F12" s="9" t="s">
        <v>34</v>
      </c>
      <c r="G12" s="4"/>
    </row>
    <row r="13" spans="1:7" ht="23.1" customHeight="1" x14ac:dyDescent="0.25">
      <c r="A13" s="3"/>
      <c r="B13" s="20"/>
      <c r="C13" s="20"/>
      <c r="D13" s="20"/>
      <c r="E13" s="20"/>
      <c r="F13" s="9" t="s">
        <v>35</v>
      </c>
      <c r="G13" s="4"/>
    </row>
    <row r="14" spans="1:7" ht="23.1" customHeight="1" x14ac:dyDescent="0.25">
      <c r="A14" s="3"/>
      <c r="B14" s="20"/>
      <c r="C14" s="20"/>
      <c r="D14" s="20"/>
      <c r="E14" s="20"/>
      <c r="F14" s="9" t="s">
        <v>36</v>
      </c>
      <c r="G14" s="4"/>
    </row>
    <row r="15" spans="1:7" ht="23.1" customHeight="1" x14ac:dyDescent="0.25">
      <c r="A15" s="3"/>
      <c r="B15" s="20"/>
      <c r="C15" s="20"/>
      <c r="D15" s="20"/>
      <c r="E15" s="20"/>
      <c r="F15" s="9" t="s">
        <v>37</v>
      </c>
      <c r="G15" s="4"/>
    </row>
    <row r="16" spans="1:7" ht="23.1" customHeight="1" x14ac:dyDescent="0.25">
      <c r="A16" s="3"/>
      <c r="B16" s="20"/>
      <c r="C16" s="20"/>
      <c r="D16" s="20"/>
      <c r="E16" s="20"/>
      <c r="F16" s="9" t="s">
        <v>38</v>
      </c>
      <c r="G16" s="4"/>
    </row>
    <row r="17" spans="1:7" ht="23.1" customHeight="1" x14ac:dyDescent="0.25">
      <c r="A17" s="3"/>
      <c r="B17" s="20"/>
      <c r="C17" s="20"/>
      <c r="D17" s="20"/>
      <c r="E17" s="20"/>
      <c r="F17" s="9" t="s">
        <v>39</v>
      </c>
      <c r="G17" s="4"/>
    </row>
    <row r="22" spans="1:7" ht="20.25" x14ac:dyDescent="0.3">
      <c r="A22" s="94" t="s">
        <v>24</v>
      </c>
      <c r="B22" s="94"/>
      <c r="C22" s="94"/>
      <c r="D22" s="94"/>
      <c r="E22" s="94"/>
      <c r="F22" s="94"/>
      <c r="G22" s="94"/>
    </row>
    <row r="23" spans="1:7" ht="20.25" x14ac:dyDescent="0.3">
      <c r="A23" s="94" t="s">
        <v>25</v>
      </c>
      <c r="B23" s="94"/>
      <c r="C23" s="94"/>
      <c r="D23" s="94"/>
      <c r="E23" s="94"/>
      <c r="F23" s="94"/>
      <c r="G23" s="94"/>
    </row>
    <row r="24" spans="1:7" x14ac:dyDescent="0.25">
      <c r="A24" s="82" t="s">
        <v>20</v>
      </c>
      <c r="B24" s="82"/>
      <c r="C24" s="82"/>
      <c r="D24" s="82"/>
      <c r="E24" s="82"/>
      <c r="F24" s="82"/>
      <c r="G24" s="82"/>
    </row>
    <row r="25" spans="1:7" x14ac:dyDescent="0.25">
      <c r="A25" s="82" t="s">
        <v>21</v>
      </c>
      <c r="B25" s="82"/>
      <c r="C25" s="82"/>
      <c r="D25" s="82"/>
      <c r="E25" s="82"/>
      <c r="F25" s="82"/>
      <c r="G25" s="82"/>
    </row>
    <row r="26" spans="1:7" ht="15" customHeight="1" x14ac:dyDescent="0.25">
      <c r="A26" s="83" t="s">
        <v>28</v>
      </c>
      <c r="B26" s="82"/>
      <c r="C26" s="82"/>
      <c r="D26" s="82"/>
      <c r="E26" s="82"/>
      <c r="F26" s="82"/>
      <c r="G26" s="82"/>
    </row>
    <row r="27" spans="1:7" x14ac:dyDescent="0.25">
      <c r="A27" s="82" t="s">
        <v>0</v>
      </c>
      <c r="B27" s="82"/>
      <c r="C27" s="82"/>
      <c r="D27" s="82"/>
      <c r="E27" s="82"/>
      <c r="F27" s="82"/>
      <c r="G27" s="82"/>
    </row>
    <row r="28" spans="1:7" x14ac:dyDescent="0.25">
      <c r="A28" s="2" t="s">
        <v>112</v>
      </c>
      <c r="B28" s="1"/>
      <c r="C28" s="1"/>
      <c r="D28" s="1"/>
      <c r="E28" s="1"/>
      <c r="F28" s="1"/>
      <c r="G28" s="10" t="e">
        <f>#REF!</f>
        <v>#REF!</v>
      </c>
    </row>
    <row r="29" spans="1:7" x14ac:dyDescent="0.25">
      <c r="A29" s="1"/>
      <c r="B29" s="1"/>
      <c r="C29" s="1"/>
      <c r="D29" s="1"/>
      <c r="E29" s="1"/>
      <c r="F29" s="1"/>
      <c r="G29" s="10" t="e">
        <f>#REF!</f>
        <v>#REF!</v>
      </c>
    </row>
    <row r="30" spans="1:7" ht="26.25" customHeight="1" x14ac:dyDescent="0.25">
      <c r="A30" s="33" t="s">
        <v>1</v>
      </c>
      <c r="B30" s="33" t="s">
        <v>3</v>
      </c>
      <c r="C30" s="33" t="s">
        <v>2</v>
      </c>
      <c r="D30" s="33" t="s">
        <v>19</v>
      </c>
      <c r="E30" s="33" t="s">
        <v>4</v>
      </c>
      <c r="F30" s="33" t="s">
        <v>18</v>
      </c>
      <c r="G30" s="33" t="s">
        <v>5</v>
      </c>
    </row>
    <row r="31" spans="1:7" ht="23.1" customHeight="1" x14ac:dyDescent="0.25">
      <c r="A31" s="3"/>
      <c r="B31" s="20"/>
      <c r="C31" s="20"/>
      <c r="D31" s="20"/>
      <c r="E31" s="20"/>
      <c r="F31" s="9" t="s">
        <v>47</v>
      </c>
      <c r="G31" s="4"/>
    </row>
    <row r="32" spans="1:7" ht="23.1" customHeight="1" x14ac:dyDescent="0.25">
      <c r="A32" s="3"/>
      <c r="B32" s="20"/>
      <c r="C32" s="20"/>
      <c r="D32" s="20"/>
      <c r="E32" s="20"/>
      <c r="F32" s="9" t="s">
        <v>48</v>
      </c>
      <c r="G32" s="4"/>
    </row>
    <row r="33" spans="1:7" ht="23.1" customHeight="1" x14ac:dyDescent="0.25">
      <c r="A33" s="3"/>
      <c r="B33" s="20"/>
      <c r="C33" s="20"/>
      <c r="D33" s="20"/>
      <c r="E33" s="20"/>
      <c r="F33" s="9" t="s">
        <v>49</v>
      </c>
      <c r="G33" s="4"/>
    </row>
    <row r="34" spans="1:7" ht="23.1" customHeight="1" x14ac:dyDescent="0.25">
      <c r="A34" s="3"/>
      <c r="B34" s="20"/>
      <c r="C34" s="20"/>
      <c r="D34" s="20"/>
      <c r="E34" s="20"/>
      <c r="F34" s="9" t="s">
        <v>50</v>
      </c>
      <c r="G34" s="4"/>
    </row>
    <row r="35" spans="1:7" ht="23.1" customHeight="1" x14ac:dyDescent="0.25">
      <c r="A35" s="3"/>
      <c r="B35" s="20"/>
      <c r="C35" s="52"/>
      <c r="D35" s="20"/>
      <c r="E35" s="20"/>
      <c r="F35" s="9" t="s">
        <v>51</v>
      </c>
      <c r="G35" s="4"/>
    </row>
    <row r="36" spans="1:7" ht="23.1" customHeight="1" x14ac:dyDescent="0.25">
      <c r="A36" s="3"/>
      <c r="B36" s="20"/>
      <c r="C36" s="20"/>
      <c r="D36" s="20"/>
      <c r="E36" s="20"/>
      <c r="F36" s="9" t="s">
        <v>46</v>
      </c>
      <c r="G36" s="4"/>
    </row>
    <row r="37" spans="1:7" ht="23.1" customHeight="1" x14ac:dyDescent="0.25">
      <c r="A37" s="3"/>
      <c r="B37" s="20"/>
      <c r="C37" s="20"/>
      <c r="D37" s="20"/>
      <c r="E37" s="20"/>
      <c r="F37" s="9" t="s">
        <v>52</v>
      </c>
      <c r="G37" s="4"/>
    </row>
    <row r="38" spans="1:7" ht="23.1" customHeight="1" x14ac:dyDescent="0.25">
      <c r="A38" s="3"/>
      <c r="B38" s="20"/>
      <c r="C38" s="20"/>
      <c r="D38" s="20"/>
      <c r="E38" s="20"/>
      <c r="F38" s="9" t="s">
        <v>53</v>
      </c>
      <c r="G38" s="4"/>
    </row>
  </sheetData>
  <mergeCells count="12">
    <mergeCell ref="A27:G27"/>
    <mergeCell ref="A1:G1"/>
    <mergeCell ref="A2:G2"/>
    <mergeCell ref="A3:G3"/>
    <mergeCell ref="A4:G4"/>
    <mergeCell ref="A5:G5"/>
    <mergeCell ref="A6:G6"/>
    <mergeCell ref="A22:G22"/>
    <mergeCell ref="A23:G23"/>
    <mergeCell ref="A24:G24"/>
    <mergeCell ref="A25:G25"/>
    <mergeCell ref="A26:G26"/>
  </mergeCells>
  <phoneticPr fontId="10" type="noConversion"/>
  <pageMargins left="0.25" right="0.25" top="0.75" bottom="0.75" header="0.3" footer="0.3"/>
  <pageSetup orientation="portrait" r:id="rId1"/>
  <headerFooter>
    <oddFooter>&amp;L
Technical Staff Name and Sign&amp;C
Total Present:
Total Absent:&amp;R
Invigilator Name and Sign
Invigilator Name and Sign</oddFooter>
  </headerFooter>
  <rowBreaks count="1" manualBreakCount="1">
    <brk id="21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5919-DD3E-47AB-A7D6-5E476D8BDF47}">
  <dimension ref="A1:G37"/>
  <sheetViews>
    <sheetView zoomScaleNormal="100" workbookViewId="0">
      <selection activeCell="R39" sqref="R39"/>
    </sheetView>
  </sheetViews>
  <sheetFormatPr defaultColWidth="8.85546875" defaultRowHeight="15" x14ac:dyDescent="0.25"/>
  <cols>
    <col min="1" max="1" width="9.7109375" customWidth="1"/>
    <col min="2" max="2" width="17.42578125" customWidth="1"/>
    <col min="3" max="3" width="21.42578125" customWidth="1"/>
    <col min="4" max="4" width="12.85546875" bestFit="1" customWidth="1"/>
    <col min="5" max="5" width="9.85546875" bestFit="1" customWidth="1"/>
    <col min="6" max="6" width="8.7109375" customWidth="1"/>
    <col min="7" max="7" width="18" customWidth="1"/>
  </cols>
  <sheetData>
    <row r="1" spans="1:7" ht="20.25" x14ac:dyDescent="0.3">
      <c r="A1" s="94" t="s">
        <v>24</v>
      </c>
      <c r="B1" s="94"/>
      <c r="C1" s="94"/>
      <c r="D1" s="94"/>
      <c r="E1" s="94"/>
      <c r="F1" s="94"/>
      <c r="G1" s="94"/>
    </row>
    <row r="2" spans="1:7" ht="20.25" x14ac:dyDescent="0.3">
      <c r="A2" s="94" t="s">
        <v>25</v>
      </c>
      <c r="B2" s="94"/>
      <c r="C2" s="94"/>
      <c r="D2" s="94"/>
      <c r="E2" s="94"/>
      <c r="F2" s="94"/>
      <c r="G2" s="94"/>
    </row>
    <row r="3" spans="1:7" x14ac:dyDescent="0.25">
      <c r="A3" s="82" t="s">
        <v>20</v>
      </c>
      <c r="B3" s="82"/>
      <c r="C3" s="82"/>
      <c r="D3" s="82"/>
      <c r="E3" s="82"/>
      <c r="F3" s="82"/>
      <c r="G3" s="82"/>
    </row>
    <row r="4" spans="1:7" x14ac:dyDescent="0.25">
      <c r="A4" s="82" t="s">
        <v>21</v>
      </c>
      <c r="B4" s="82"/>
      <c r="C4" s="82"/>
      <c r="D4" s="82"/>
      <c r="E4" s="82"/>
      <c r="F4" s="82"/>
      <c r="G4" s="82"/>
    </row>
    <row r="5" spans="1:7" x14ac:dyDescent="0.25">
      <c r="A5" s="83" t="s">
        <v>31</v>
      </c>
      <c r="B5" s="83"/>
      <c r="C5" s="83"/>
      <c r="D5" s="83"/>
      <c r="E5" s="83"/>
      <c r="F5" s="83"/>
      <c r="G5" s="83"/>
    </row>
    <row r="6" spans="1:7" x14ac:dyDescent="0.25">
      <c r="A6" s="82" t="s">
        <v>0</v>
      </c>
      <c r="B6" s="82"/>
      <c r="C6" s="82"/>
      <c r="D6" s="82"/>
      <c r="E6" s="82"/>
      <c r="F6" s="82"/>
      <c r="G6" s="82"/>
    </row>
    <row r="7" spans="1:7" x14ac:dyDescent="0.25">
      <c r="A7" s="2" t="s">
        <v>112</v>
      </c>
      <c r="B7" s="18"/>
      <c r="C7" s="18"/>
      <c r="D7" s="18"/>
      <c r="E7" s="18"/>
      <c r="F7" s="18"/>
      <c r="G7" s="10" t="e">
        <f>#REF!</f>
        <v>#REF!</v>
      </c>
    </row>
    <row r="8" spans="1:7" x14ac:dyDescent="0.25">
      <c r="A8" s="1"/>
      <c r="B8" s="1"/>
      <c r="C8" s="1"/>
      <c r="D8" s="1"/>
      <c r="E8" s="1"/>
      <c r="F8" s="1"/>
      <c r="G8" s="10" t="e">
        <f>#REF!</f>
        <v>#REF!</v>
      </c>
    </row>
    <row r="9" spans="1:7" ht="31.5" customHeight="1" x14ac:dyDescent="0.25">
      <c r="A9" s="33" t="s">
        <v>113</v>
      </c>
      <c r="B9" s="33" t="s">
        <v>3</v>
      </c>
      <c r="C9" s="34" t="s">
        <v>2</v>
      </c>
      <c r="D9" s="33" t="s">
        <v>19</v>
      </c>
      <c r="E9" s="33" t="s">
        <v>4</v>
      </c>
      <c r="F9" s="33" t="s">
        <v>18</v>
      </c>
      <c r="G9" s="33" t="s">
        <v>5</v>
      </c>
    </row>
    <row r="10" spans="1:7" ht="23.1" customHeight="1" x14ac:dyDescent="0.25">
      <c r="A10" s="3">
        <v>76</v>
      </c>
      <c r="B10" s="20"/>
      <c r="C10" s="20"/>
      <c r="D10" s="20"/>
      <c r="E10" s="20"/>
      <c r="F10" s="13" t="s">
        <v>32</v>
      </c>
      <c r="G10" s="4"/>
    </row>
    <row r="11" spans="1:7" ht="23.1" customHeight="1" x14ac:dyDescent="0.25">
      <c r="A11" s="3">
        <v>77</v>
      </c>
      <c r="B11" s="20"/>
      <c r="C11" s="20"/>
      <c r="D11" s="20"/>
      <c r="E11" s="20"/>
      <c r="F11" s="13" t="s">
        <v>33</v>
      </c>
      <c r="G11" s="4"/>
    </row>
    <row r="12" spans="1:7" ht="23.1" customHeight="1" x14ac:dyDescent="0.25">
      <c r="A12" s="3">
        <v>78</v>
      </c>
      <c r="B12" s="20"/>
      <c r="C12" s="20"/>
      <c r="D12" s="20"/>
      <c r="E12" s="20"/>
      <c r="F12" s="13" t="s">
        <v>34</v>
      </c>
      <c r="G12" s="4"/>
    </row>
    <row r="13" spans="1:7" ht="23.1" customHeight="1" x14ac:dyDescent="0.25">
      <c r="A13" s="3">
        <v>79</v>
      </c>
      <c r="B13" s="20"/>
      <c r="C13" s="20"/>
      <c r="D13" s="20"/>
      <c r="E13" s="20"/>
      <c r="F13" s="13" t="s">
        <v>35</v>
      </c>
      <c r="G13" s="4"/>
    </row>
    <row r="14" spans="1:7" ht="23.1" customHeight="1" x14ac:dyDescent="0.25">
      <c r="A14" s="3">
        <v>52</v>
      </c>
      <c r="B14" s="22"/>
      <c r="C14" s="20"/>
      <c r="D14" s="20"/>
      <c r="E14" s="20"/>
      <c r="F14" s="13" t="s">
        <v>36</v>
      </c>
      <c r="G14" s="4"/>
    </row>
    <row r="15" spans="1:7" ht="23.1" customHeight="1" x14ac:dyDescent="0.25">
      <c r="A15" s="3">
        <v>53</v>
      </c>
      <c r="B15" s="22"/>
      <c r="C15" s="20"/>
      <c r="D15" s="20"/>
      <c r="E15" s="20"/>
      <c r="F15" s="13" t="s">
        <v>37</v>
      </c>
      <c r="G15" s="4"/>
    </row>
    <row r="16" spans="1:7" ht="23.1" customHeight="1" x14ac:dyDescent="0.25">
      <c r="A16" s="3">
        <v>54</v>
      </c>
      <c r="B16" s="22"/>
      <c r="C16" s="20"/>
      <c r="D16" s="20"/>
      <c r="E16" s="20"/>
      <c r="F16" s="13" t="s">
        <v>38</v>
      </c>
      <c r="G16" s="4"/>
    </row>
    <row r="17" spans="1:7" ht="23.1" customHeight="1" x14ac:dyDescent="0.25">
      <c r="A17" s="3">
        <v>55</v>
      </c>
      <c r="B17" s="22"/>
      <c r="C17" s="20"/>
      <c r="D17" s="20"/>
      <c r="E17" s="20"/>
      <c r="F17" s="13" t="s">
        <v>39</v>
      </c>
      <c r="G17" s="4"/>
    </row>
    <row r="21" spans="1:7" ht="20.25" x14ac:dyDescent="0.3">
      <c r="A21" s="94" t="s">
        <v>24</v>
      </c>
      <c r="B21" s="94"/>
      <c r="C21" s="94"/>
      <c r="D21" s="94"/>
      <c r="E21" s="94"/>
      <c r="F21" s="94"/>
      <c r="G21" s="94"/>
    </row>
    <row r="22" spans="1:7" ht="20.25" x14ac:dyDescent="0.3">
      <c r="A22" s="94" t="s">
        <v>25</v>
      </c>
      <c r="B22" s="94"/>
      <c r="C22" s="94"/>
      <c r="D22" s="94"/>
      <c r="E22" s="94"/>
      <c r="F22" s="94"/>
      <c r="G22" s="94"/>
    </row>
    <row r="23" spans="1:7" x14ac:dyDescent="0.25">
      <c r="A23" s="82" t="s">
        <v>20</v>
      </c>
      <c r="B23" s="82"/>
      <c r="C23" s="82"/>
      <c r="D23" s="82"/>
      <c r="E23" s="82"/>
      <c r="F23" s="82"/>
      <c r="G23" s="82"/>
    </row>
    <row r="24" spans="1:7" x14ac:dyDescent="0.25">
      <c r="A24" s="82" t="s">
        <v>21</v>
      </c>
      <c r="B24" s="82"/>
      <c r="C24" s="82"/>
      <c r="D24" s="82"/>
      <c r="E24" s="82"/>
      <c r="F24" s="82"/>
      <c r="G24" s="82"/>
    </row>
    <row r="25" spans="1:7" x14ac:dyDescent="0.25">
      <c r="A25" s="83" t="s">
        <v>30</v>
      </c>
      <c r="B25" s="83"/>
      <c r="C25" s="83"/>
      <c r="D25" s="83"/>
      <c r="E25" s="83"/>
      <c r="F25" s="83"/>
      <c r="G25" s="83"/>
    </row>
    <row r="26" spans="1:7" x14ac:dyDescent="0.25">
      <c r="A26" s="82" t="s">
        <v>0</v>
      </c>
      <c r="B26" s="82"/>
      <c r="C26" s="82"/>
      <c r="D26" s="82"/>
      <c r="E26" s="82"/>
      <c r="F26" s="82"/>
      <c r="G26" s="82"/>
    </row>
    <row r="27" spans="1:7" x14ac:dyDescent="0.25">
      <c r="A27" s="2" t="s">
        <v>112</v>
      </c>
      <c r="B27" s="18"/>
      <c r="C27" s="18"/>
      <c r="D27" s="18"/>
      <c r="E27" s="18"/>
      <c r="F27" s="18"/>
      <c r="G27" s="10" t="e">
        <f>#REF!</f>
        <v>#REF!</v>
      </c>
    </row>
    <row r="28" spans="1:7" x14ac:dyDescent="0.25">
      <c r="A28" s="1"/>
      <c r="B28" s="1"/>
      <c r="C28" s="1"/>
      <c r="D28" s="1"/>
      <c r="E28" s="1"/>
      <c r="F28" s="1"/>
      <c r="G28" s="10" t="e">
        <f>#REF!</f>
        <v>#REF!</v>
      </c>
    </row>
    <row r="29" spans="1:7" ht="22.5" customHeight="1" x14ac:dyDescent="0.25">
      <c r="A29" s="33" t="s">
        <v>113</v>
      </c>
      <c r="B29" s="33" t="s">
        <v>3</v>
      </c>
      <c r="C29" s="34" t="s">
        <v>2</v>
      </c>
      <c r="D29" s="33" t="s">
        <v>19</v>
      </c>
      <c r="E29" s="33" t="s">
        <v>4</v>
      </c>
      <c r="F29" s="33" t="s">
        <v>18</v>
      </c>
      <c r="G29" s="33" t="s">
        <v>5</v>
      </c>
    </row>
    <row r="30" spans="1:7" ht="23.1" customHeight="1" x14ac:dyDescent="0.25">
      <c r="A30" s="3">
        <v>44</v>
      </c>
      <c r="B30" s="20"/>
      <c r="C30" s="20"/>
      <c r="D30" s="20"/>
      <c r="E30" s="20"/>
      <c r="F30" s="13" t="s">
        <v>47</v>
      </c>
      <c r="G30" s="4"/>
    </row>
    <row r="31" spans="1:7" ht="23.1" customHeight="1" x14ac:dyDescent="0.25">
      <c r="A31" s="3">
        <v>45</v>
      </c>
      <c r="B31" s="20"/>
      <c r="C31" s="20"/>
      <c r="D31" s="20"/>
      <c r="E31" s="20"/>
      <c r="F31" s="13" t="s">
        <v>48</v>
      </c>
      <c r="G31" s="4"/>
    </row>
    <row r="32" spans="1:7" ht="23.1" customHeight="1" x14ac:dyDescent="0.25">
      <c r="A32" s="3">
        <v>46</v>
      </c>
      <c r="B32" s="20"/>
      <c r="C32" s="20"/>
      <c r="D32" s="20"/>
      <c r="E32" s="20"/>
      <c r="F32" s="13" t="s">
        <v>49</v>
      </c>
      <c r="G32" s="4"/>
    </row>
    <row r="33" spans="1:7" ht="23.1" customHeight="1" x14ac:dyDescent="0.25">
      <c r="A33" s="3">
        <v>47</v>
      </c>
      <c r="B33" s="20"/>
      <c r="C33" s="20"/>
      <c r="D33" s="20"/>
      <c r="E33" s="20"/>
      <c r="F33" s="13" t="s">
        <v>50</v>
      </c>
      <c r="G33" s="4"/>
    </row>
    <row r="34" spans="1:7" ht="23.1" customHeight="1" x14ac:dyDescent="0.25">
      <c r="A34" s="3">
        <v>48</v>
      </c>
      <c r="B34" s="20"/>
      <c r="C34" s="20"/>
      <c r="D34" s="20"/>
      <c r="E34" s="20"/>
      <c r="F34" s="13" t="s">
        <v>51</v>
      </c>
      <c r="G34" s="4"/>
    </row>
    <row r="35" spans="1:7" ht="23.1" customHeight="1" x14ac:dyDescent="0.25">
      <c r="A35" s="3">
        <v>49</v>
      </c>
      <c r="B35" s="20"/>
      <c r="C35" s="20"/>
      <c r="D35" s="20"/>
      <c r="E35" s="20"/>
      <c r="F35" s="13" t="s">
        <v>46</v>
      </c>
      <c r="G35" s="4"/>
    </row>
    <row r="36" spans="1:7" ht="23.1" customHeight="1" x14ac:dyDescent="0.25">
      <c r="A36" s="3">
        <v>50</v>
      </c>
      <c r="B36" s="20"/>
      <c r="C36" s="20"/>
      <c r="D36" s="20"/>
      <c r="E36" s="20"/>
      <c r="F36" s="13" t="s">
        <v>52</v>
      </c>
      <c r="G36" s="4"/>
    </row>
    <row r="37" spans="1:7" ht="23.1" customHeight="1" x14ac:dyDescent="0.25">
      <c r="A37" s="3">
        <v>51</v>
      </c>
      <c r="B37" s="20"/>
      <c r="C37" s="20"/>
      <c r="D37" s="20"/>
      <c r="E37" s="20"/>
      <c r="F37" s="13" t="s">
        <v>53</v>
      </c>
      <c r="G37" s="4"/>
    </row>
  </sheetData>
  <mergeCells count="12">
    <mergeCell ref="A26:G26"/>
    <mergeCell ref="A1:G1"/>
    <mergeCell ref="A2:G2"/>
    <mergeCell ref="A3:G3"/>
    <mergeCell ref="A4:G4"/>
    <mergeCell ref="A5:G5"/>
    <mergeCell ref="A6:G6"/>
    <mergeCell ref="A21:G21"/>
    <mergeCell ref="A22:G22"/>
    <mergeCell ref="A23:G23"/>
    <mergeCell ref="A24:G24"/>
    <mergeCell ref="A25:G25"/>
  </mergeCells>
  <phoneticPr fontId="10" type="noConversion"/>
  <pageMargins left="0.25" right="0.25" top="0.75" bottom="0.75" header="0.3" footer="0.3"/>
  <pageSetup orientation="portrait" r:id="rId1"/>
  <headerFooter>
    <oddFooter>&amp;L
Technical Staff Name and Sign&amp;C
 Total Present:
Total Absent:&amp;R
Invigilator Name and Sign
Invigilator Name and Sign</oddFooter>
  </headerFooter>
  <rowBreaks count="1" manualBreakCount="1">
    <brk id="20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498C-C981-4BB3-9641-B5664B1697D6}">
  <dimension ref="A1:E162"/>
  <sheetViews>
    <sheetView workbookViewId="0">
      <selection sqref="A1:E162"/>
    </sheetView>
  </sheetViews>
  <sheetFormatPr defaultRowHeight="15" x14ac:dyDescent="0.25"/>
  <cols>
    <col min="2" max="2" width="13.42578125" customWidth="1"/>
    <col min="3" max="3" width="15.85546875" customWidth="1"/>
    <col min="5" max="5" width="11.7109375" customWidth="1"/>
  </cols>
  <sheetData>
    <row r="1" spans="1:5" ht="15.75" x14ac:dyDescent="0.25">
      <c r="A1" s="99" t="s">
        <v>158</v>
      </c>
      <c r="B1" s="100" t="s">
        <v>159</v>
      </c>
      <c r="C1" s="101" t="s">
        <v>160</v>
      </c>
      <c r="D1" s="101" t="s">
        <v>161</v>
      </c>
      <c r="E1" s="102" t="s">
        <v>339</v>
      </c>
    </row>
    <row r="2" spans="1:5" ht="25.5" x14ac:dyDescent="0.25">
      <c r="A2" s="103">
        <v>1</v>
      </c>
      <c r="B2" s="98" t="s">
        <v>178</v>
      </c>
      <c r="C2" s="73" t="s">
        <v>340</v>
      </c>
      <c r="D2" s="104">
        <v>1524</v>
      </c>
      <c r="E2" s="105">
        <v>734292</v>
      </c>
    </row>
    <row r="3" spans="1:5" ht="25.5" x14ac:dyDescent="0.25">
      <c r="A3" s="103">
        <v>2</v>
      </c>
      <c r="B3" s="98" t="s">
        <v>179</v>
      </c>
      <c r="C3" s="73" t="s">
        <v>341</v>
      </c>
      <c r="D3" s="104">
        <v>1524</v>
      </c>
      <c r="E3" s="105">
        <v>961735</v>
      </c>
    </row>
    <row r="4" spans="1:5" ht="25.5" x14ac:dyDescent="0.25">
      <c r="A4" s="103">
        <v>3</v>
      </c>
      <c r="B4" s="98" t="s">
        <v>180</v>
      </c>
      <c r="C4" s="73" t="s">
        <v>342</v>
      </c>
      <c r="D4" s="104">
        <v>1524</v>
      </c>
      <c r="E4" s="105">
        <v>753182</v>
      </c>
    </row>
    <row r="5" spans="1:5" ht="25.5" x14ac:dyDescent="0.25">
      <c r="A5" s="103">
        <v>4</v>
      </c>
      <c r="B5" s="98" t="s">
        <v>181</v>
      </c>
      <c r="C5" s="73" t="s">
        <v>343</v>
      </c>
      <c r="D5" s="104">
        <v>1524</v>
      </c>
      <c r="E5" s="105">
        <v>557052</v>
      </c>
    </row>
    <row r="6" spans="1:5" x14ac:dyDescent="0.25">
      <c r="A6" s="103">
        <v>5</v>
      </c>
      <c r="B6" s="98" t="s">
        <v>182</v>
      </c>
      <c r="C6" s="73" t="s">
        <v>344</v>
      </c>
      <c r="D6" s="104">
        <v>1524</v>
      </c>
      <c r="E6" s="105">
        <v>205836</v>
      </c>
    </row>
    <row r="7" spans="1:5" ht="25.5" x14ac:dyDescent="0.25">
      <c r="A7" s="103">
        <v>6</v>
      </c>
      <c r="B7" s="98" t="s">
        <v>183</v>
      </c>
      <c r="C7" s="73" t="s">
        <v>345</v>
      </c>
      <c r="D7" s="104">
        <v>1524</v>
      </c>
      <c r="E7" s="105">
        <v>866555</v>
      </c>
    </row>
    <row r="8" spans="1:5" ht="25.5" x14ac:dyDescent="0.25">
      <c r="A8" s="103">
        <v>7</v>
      </c>
      <c r="B8" s="98" t="s">
        <v>184</v>
      </c>
      <c r="C8" s="73" t="s">
        <v>346</v>
      </c>
      <c r="D8" s="104">
        <v>1524</v>
      </c>
      <c r="E8" s="105">
        <v>716200</v>
      </c>
    </row>
    <row r="9" spans="1:5" ht="25.5" x14ac:dyDescent="0.25">
      <c r="A9" s="103">
        <v>8</v>
      </c>
      <c r="B9" s="98" t="s">
        <v>185</v>
      </c>
      <c r="C9" s="73" t="s">
        <v>347</v>
      </c>
      <c r="D9" s="104">
        <v>1524</v>
      </c>
      <c r="E9" s="105">
        <v>135546</v>
      </c>
    </row>
    <row r="10" spans="1:5" ht="25.5" x14ac:dyDescent="0.25">
      <c r="A10" s="103">
        <v>9</v>
      </c>
      <c r="B10" s="98" t="s">
        <v>186</v>
      </c>
      <c r="C10" s="73" t="s">
        <v>348</v>
      </c>
      <c r="D10" s="104">
        <v>1524</v>
      </c>
      <c r="E10" s="105">
        <v>465369</v>
      </c>
    </row>
    <row r="11" spans="1:5" x14ac:dyDescent="0.25">
      <c r="A11" s="103">
        <v>10</v>
      </c>
      <c r="B11" s="98" t="s">
        <v>187</v>
      </c>
      <c r="C11" s="73" t="s">
        <v>349</v>
      </c>
      <c r="D11" s="104">
        <v>1524</v>
      </c>
      <c r="E11" s="105">
        <v>970488</v>
      </c>
    </row>
    <row r="12" spans="1:5" ht="25.5" x14ac:dyDescent="0.25">
      <c r="A12" s="103">
        <v>11</v>
      </c>
      <c r="B12" s="98" t="s">
        <v>188</v>
      </c>
      <c r="C12" s="73" t="s">
        <v>350</v>
      </c>
      <c r="D12" s="104">
        <v>1524</v>
      </c>
      <c r="E12" s="105">
        <v>705611</v>
      </c>
    </row>
    <row r="13" spans="1:5" ht="25.5" x14ac:dyDescent="0.25">
      <c r="A13" s="103">
        <v>12</v>
      </c>
      <c r="B13" s="98" t="s">
        <v>189</v>
      </c>
      <c r="C13" s="73" t="s">
        <v>351</v>
      </c>
      <c r="D13" s="104">
        <v>1524</v>
      </c>
      <c r="E13" s="105">
        <v>550384</v>
      </c>
    </row>
    <row r="14" spans="1:5" ht="25.5" x14ac:dyDescent="0.25">
      <c r="A14" s="103">
        <v>13</v>
      </c>
      <c r="B14" s="98" t="s">
        <v>190</v>
      </c>
      <c r="C14" s="73" t="s">
        <v>352</v>
      </c>
      <c r="D14" s="104">
        <v>1524</v>
      </c>
      <c r="E14" s="105">
        <v>553178</v>
      </c>
    </row>
    <row r="15" spans="1:5" x14ac:dyDescent="0.25">
      <c r="A15" s="103">
        <v>14</v>
      </c>
      <c r="B15" s="98" t="s">
        <v>191</v>
      </c>
      <c r="C15" s="73" t="s">
        <v>353</v>
      </c>
      <c r="D15" s="104">
        <v>1524</v>
      </c>
      <c r="E15" s="105">
        <v>277587</v>
      </c>
    </row>
    <row r="16" spans="1:5" x14ac:dyDescent="0.25">
      <c r="A16" s="103">
        <v>15</v>
      </c>
      <c r="B16" s="98" t="s">
        <v>192</v>
      </c>
      <c r="C16" s="73" t="s">
        <v>354</v>
      </c>
      <c r="D16" s="104">
        <v>1524</v>
      </c>
      <c r="E16" s="105">
        <v>239080</v>
      </c>
    </row>
    <row r="17" spans="1:5" ht="25.5" x14ac:dyDescent="0.25">
      <c r="A17" s="103">
        <v>16</v>
      </c>
      <c r="B17" s="98" t="s">
        <v>193</v>
      </c>
      <c r="C17" s="73" t="s">
        <v>355</v>
      </c>
      <c r="D17" s="104">
        <v>1524</v>
      </c>
      <c r="E17" s="105">
        <v>926861</v>
      </c>
    </row>
    <row r="18" spans="1:5" x14ac:dyDescent="0.25">
      <c r="A18" s="103">
        <v>17</v>
      </c>
      <c r="B18" s="98" t="s">
        <v>194</v>
      </c>
      <c r="C18" s="73" t="s">
        <v>356</v>
      </c>
      <c r="D18" s="104">
        <v>1524</v>
      </c>
      <c r="E18" s="105">
        <v>975200</v>
      </c>
    </row>
    <row r="19" spans="1:5" x14ac:dyDescent="0.25">
      <c r="A19" s="103">
        <v>18</v>
      </c>
      <c r="B19" s="98" t="s">
        <v>195</v>
      </c>
      <c r="C19" s="73" t="s">
        <v>357</v>
      </c>
      <c r="D19" s="104">
        <v>1524</v>
      </c>
      <c r="E19" s="105">
        <v>738697</v>
      </c>
    </row>
    <row r="20" spans="1:5" x14ac:dyDescent="0.25">
      <c r="A20" s="103">
        <v>19</v>
      </c>
      <c r="B20" s="98" t="s">
        <v>196</v>
      </c>
      <c r="C20" s="73" t="s">
        <v>358</v>
      </c>
      <c r="D20" s="104">
        <v>1524</v>
      </c>
      <c r="E20" s="105">
        <v>438068</v>
      </c>
    </row>
    <row r="21" spans="1:5" ht="25.5" x14ac:dyDescent="0.25">
      <c r="A21" s="103">
        <v>20</v>
      </c>
      <c r="B21" s="98" t="s">
        <v>197</v>
      </c>
      <c r="C21" s="73" t="s">
        <v>359</v>
      </c>
      <c r="D21" s="104">
        <v>1524</v>
      </c>
      <c r="E21" s="105">
        <v>989743</v>
      </c>
    </row>
    <row r="22" spans="1:5" ht="25.5" x14ac:dyDescent="0.25">
      <c r="A22" s="103">
        <v>21</v>
      </c>
      <c r="B22" s="98" t="s">
        <v>198</v>
      </c>
      <c r="C22" s="73" t="s">
        <v>360</v>
      </c>
      <c r="D22" s="104">
        <v>1524</v>
      </c>
      <c r="E22" s="105">
        <v>775763</v>
      </c>
    </row>
    <row r="23" spans="1:5" x14ac:dyDescent="0.25">
      <c r="A23" s="103">
        <v>22</v>
      </c>
      <c r="B23" s="98" t="s">
        <v>199</v>
      </c>
      <c r="C23" s="73" t="s">
        <v>361</v>
      </c>
      <c r="D23" s="104">
        <v>1524</v>
      </c>
      <c r="E23" s="105">
        <v>497485</v>
      </c>
    </row>
    <row r="24" spans="1:5" ht="25.5" x14ac:dyDescent="0.25">
      <c r="A24" s="103">
        <v>23</v>
      </c>
      <c r="B24" s="98" t="s">
        <v>200</v>
      </c>
      <c r="C24" s="73" t="s">
        <v>362</v>
      </c>
      <c r="D24" s="104">
        <v>1524</v>
      </c>
      <c r="E24" s="105">
        <v>783768</v>
      </c>
    </row>
    <row r="25" spans="1:5" ht="25.5" x14ac:dyDescent="0.25">
      <c r="A25" s="103">
        <v>24</v>
      </c>
      <c r="B25" s="98" t="s">
        <v>201</v>
      </c>
      <c r="C25" s="73" t="s">
        <v>363</v>
      </c>
      <c r="D25" s="104">
        <v>1524</v>
      </c>
      <c r="E25" s="105">
        <v>897428</v>
      </c>
    </row>
    <row r="26" spans="1:5" ht="25.5" x14ac:dyDescent="0.25">
      <c r="A26" s="103">
        <v>25</v>
      </c>
      <c r="B26" s="98" t="s">
        <v>202</v>
      </c>
      <c r="C26" s="73" t="s">
        <v>364</v>
      </c>
      <c r="D26" s="104">
        <v>1524</v>
      </c>
      <c r="E26" s="105">
        <v>834165</v>
      </c>
    </row>
    <row r="27" spans="1:5" ht="25.5" x14ac:dyDescent="0.25">
      <c r="A27" s="103">
        <v>26</v>
      </c>
      <c r="B27" s="98" t="s">
        <v>203</v>
      </c>
      <c r="C27" s="73" t="s">
        <v>365</v>
      </c>
      <c r="D27" s="104">
        <v>1524</v>
      </c>
      <c r="E27" s="105">
        <v>808855</v>
      </c>
    </row>
    <row r="28" spans="1:5" ht="25.5" x14ac:dyDescent="0.25">
      <c r="A28" s="103">
        <v>27</v>
      </c>
      <c r="B28" s="98" t="s">
        <v>204</v>
      </c>
      <c r="C28" s="73" t="s">
        <v>366</v>
      </c>
      <c r="D28" s="104">
        <v>1524</v>
      </c>
      <c r="E28" s="105">
        <v>691356</v>
      </c>
    </row>
    <row r="29" spans="1:5" x14ac:dyDescent="0.25">
      <c r="A29" s="103">
        <v>28</v>
      </c>
      <c r="B29" s="98" t="s">
        <v>205</v>
      </c>
      <c r="C29" s="73" t="s">
        <v>367</v>
      </c>
      <c r="D29" s="104">
        <v>1524</v>
      </c>
      <c r="E29" s="105">
        <v>618799</v>
      </c>
    </row>
    <row r="30" spans="1:5" x14ac:dyDescent="0.25">
      <c r="A30" s="103">
        <v>29</v>
      </c>
      <c r="B30" s="98" t="s">
        <v>206</v>
      </c>
      <c r="C30" s="73" t="s">
        <v>368</v>
      </c>
      <c r="D30" s="104">
        <v>1524</v>
      </c>
      <c r="E30" s="105">
        <v>445958</v>
      </c>
    </row>
    <row r="31" spans="1:5" ht="25.5" x14ac:dyDescent="0.25">
      <c r="A31" s="103">
        <v>30</v>
      </c>
      <c r="B31" s="98" t="s">
        <v>207</v>
      </c>
      <c r="C31" s="73" t="s">
        <v>369</v>
      </c>
      <c r="D31" s="104">
        <v>1524</v>
      </c>
      <c r="E31" s="105">
        <v>563811</v>
      </c>
    </row>
    <row r="32" spans="1:5" x14ac:dyDescent="0.25">
      <c r="A32" s="103">
        <v>31</v>
      </c>
      <c r="B32" s="98" t="s">
        <v>208</v>
      </c>
      <c r="C32" s="73" t="s">
        <v>370</v>
      </c>
      <c r="D32" s="104">
        <v>1524</v>
      </c>
      <c r="E32" s="105">
        <v>220309</v>
      </c>
    </row>
    <row r="33" spans="1:5" ht="25.5" x14ac:dyDescent="0.25">
      <c r="A33" s="103">
        <v>32</v>
      </c>
      <c r="B33" s="98" t="s">
        <v>209</v>
      </c>
      <c r="C33" s="73" t="s">
        <v>371</v>
      </c>
      <c r="D33" s="104">
        <v>1524</v>
      </c>
      <c r="E33" s="105">
        <v>637872</v>
      </c>
    </row>
    <row r="34" spans="1:5" x14ac:dyDescent="0.25">
      <c r="A34" s="103">
        <v>33</v>
      </c>
      <c r="B34" s="98" t="s">
        <v>210</v>
      </c>
      <c r="C34" s="73" t="s">
        <v>372</v>
      </c>
      <c r="D34" s="104">
        <v>1524</v>
      </c>
      <c r="E34" s="105">
        <v>317232</v>
      </c>
    </row>
    <row r="35" spans="1:5" ht="38.25" x14ac:dyDescent="0.25">
      <c r="A35" s="103">
        <v>34</v>
      </c>
      <c r="B35" s="98" t="s">
        <v>211</v>
      </c>
      <c r="C35" s="73" t="s">
        <v>373</v>
      </c>
      <c r="D35" s="104">
        <v>1524</v>
      </c>
      <c r="E35" s="105">
        <v>964350</v>
      </c>
    </row>
    <row r="36" spans="1:5" ht="25.5" x14ac:dyDescent="0.25">
      <c r="A36" s="103">
        <v>35</v>
      </c>
      <c r="B36" s="98" t="s">
        <v>212</v>
      </c>
      <c r="C36" s="73" t="s">
        <v>374</v>
      </c>
      <c r="D36" s="104">
        <v>1524</v>
      </c>
      <c r="E36" s="105">
        <v>871062</v>
      </c>
    </row>
    <row r="37" spans="1:5" ht="25.5" x14ac:dyDescent="0.25">
      <c r="A37" s="103">
        <v>36</v>
      </c>
      <c r="B37" s="98" t="s">
        <v>213</v>
      </c>
      <c r="C37" s="73" t="s">
        <v>375</v>
      </c>
      <c r="D37" s="104">
        <v>1524</v>
      </c>
      <c r="E37" s="105">
        <v>777755</v>
      </c>
    </row>
    <row r="38" spans="1:5" ht="25.5" x14ac:dyDescent="0.25">
      <c r="A38" s="103">
        <v>37</v>
      </c>
      <c r="B38" s="98" t="s">
        <v>214</v>
      </c>
      <c r="C38" s="73" t="s">
        <v>376</v>
      </c>
      <c r="D38" s="104">
        <v>1524</v>
      </c>
      <c r="E38" s="105">
        <v>400665</v>
      </c>
    </row>
    <row r="39" spans="1:5" ht="25.5" x14ac:dyDescent="0.25">
      <c r="A39" s="103">
        <v>38</v>
      </c>
      <c r="B39" s="98" t="s">
        <v>215</v>
      </c>
      <c r="C39" s="73" t="s">
        <v>377</v>
      </c>
      <c r="D39" s="104">
        <v>1524</v>
      </c>
      <c r="E39" s="105">
        <v>857343</v>
      </c>
    </row>
    <row r="40" spans="1:5" x14ac:dyDescent="0.25">
      <c r="A40" s="103">
        <v>39</v>
      </c>
      <c r="B40" s="98" t="s">
        <v>216</v>
      </c>
      <c r="C40" s="73" t="s">
        <v>378</v>
      </c>
      <c r="D40" s="104">
        <v>1524</v>
      </c>
      <c r="E40" s="105">
        <v>904048</v>
      </c>
    </row>
    <row r="41" spans="1:5" ht="25.5" x14ac:dyDescent="0.25">
      <c r="A41" s="103">
        <v>40</v>
      </c>
      <c r="B41" s="98" t="s">
        <v>217</v>
      </c>
      <c r="C41" s="73" t="s">
        <v>379</v>
      </c>
      <c r="D41" s="104">
        <v>1524</v>
      </c>
      <c r="E41" s="105">
        <v>975640</v>
      </c>
    </row>
    <row r="42" spans="1:5" ht="38.25" x14ac:dyDescent="0.25">
      <c r="A42" s="103">
        <v>41</v>
      </c>
      <c r="B42" s="98" t="s">
        <v>218</v>
      </c>
      <c r="C42" s="73" t="s">
        <v>380</v>
      </c>
      <c r="D42" s="104">
        <v>1524</v>
      </c>
      <c r="E42" s="105">
        <v>997032</v>
      </c>
    </row>
    <row r="43" spans="1:5" ht="25.5" x14ac:dyDescent="0.25">
      <c r="A43" s="103">
        <v>42</v>
      </c>
      <c r="B43" s="98" t="s">
        <v>219</v>
      </c>
      <c r="C43" s="73" t="s">
        <v>381</v>
      </c>
      <c r="D43" s="104">
        <v>1524</v>
      </c>
      <c r="E43" s="105">
        <v>871049</v>
      </c>
    </row>
    <row r="44" spans="1:5" ht="25.5" x14ac:dyDescent="0.25">
      <c r="A44" s="103">
        <v>43</v>
      </c>
      <c r="B44" s="98" t="s">
        <v>220</v>
      </c>
      <c r="C44" s="73" t="s">
        <v>382</v>
      </c>
      <c r="D44" s="104">
        <v>1524</v>
      </c>
      <c r="E44" s="105">
        <v>315099</v>
      </c>
    </row>
    <row r="45" spans="1:5" x14ac:dyDescent="0.25">
      <c r="A45" s="103">
        <v>44</v>
      </c>
      <c r="B45" s="98" t="s">
        <v>221</v>
      </c>
      <c r="C45" s="73" t="s">
        <v>383</v>
      </c>
      <c r="D45" s="104">
        <v>1524</v>
      </c>
      <c r="E45" s="105">
        <v>974986</v>
      </c>
    </row>
    <row r="46" spans="1:5" x14ac:dyDescent="0.25">
      <c r="A46" s="103">
        <v>45</v>
      </c>
      <c r="B46" s="98" t="s">
        <v>222</v>
      </c>
      <c r="C46" s="73" t="s">
        <v>384</v>
      </c>
      <c r="D46" s="104">
        <v>1524</v>
      </c>
      <c r="E46" s="105">
        <v>597297</v>
      </c>
    </row>
    <row r="47" spans="1:5" ht="25.5" x14ac:dyDescent="0.25">
      <c r="A47" s="103">
        <v>46</v>
      </c>
      <c r="B47" s="98" t="s">
        <v>223</v>
      </c>
      <c r="C47" s="73" t="s">
        <v>385</v>
      </c>
      <c r="D47" s="104">
        <v>1524</v>
      </c>
      <c r="E47" s="105">
        <v>391386</v>
      </c>
    </row>
    <row r="48" spans="1:5" x14ac:dyDescent="0.25">
      <c r="A48" s="103">
        <v>47</v>
      </c>
      <c r="B48" s="98" t="s">
        <v>224</v>
      </c>
      <c r="C48" s="73" t="s">
        <v>386</v>
      </c>
      <c r="D48" s="104">
        <v>1524</v>
      </c>
      <c r="E48" s="105">
        <v>943473</v>
      </c>
    </row>
    <row r="49" spans="1:5" ht="25.5" x14ac:dyDescent="0.25">
      <c r="A49" s="103">
        <v>48</v>
      </c>
      <c r="B49" s="98" t="s">
        <v>225</v>
      </c>
      <c r="C49" s="73" t="s">
        <v>387</v>
      </c>
      <c r="D49" s="104">
        <v>1524</v>
      </c>
      <c r="E49" s="105">
        <v>997889</v>
      </c>
    </row>
    <row r="50" spans="1:5" ht="25.5" x14ac:dyDescent="0.25">
      <c r="A50" s="103">
        <v>49</v>
      </c>
      <c r="B50" s="98" t="s">
        <v>226</v>
      </c>
      <c r="C50" s="73" t="s">
        <v>388</v>
      </c>
      <c r="D50" s="104">
        <v>1524</v>
      </c>
      <c r="E50" s="105">
        <v>206673</v>
      </c>
    </row>
    <row r="51" spans="1:5" x14ac:dyDescent="0.25">
      <c r="A51" s="103">
        <v>50</v>
      </c>
      <c r="B51" s="98" t="s">
        <v>227</v>
      </c>
      <c r="C51" s="73" t="s">
        <v>389</v>
      </c>
      <c r="D51" s="104">
        <v>1524</v>
      </c>
      <c r="E51" s="105">
        <v>453785</v>
      </c>
    </row>
    <row r="52" spans="1:5" ht="25.5" x14ac:dyDescent="0.25">
      <c r="A52" s="103">
        <v>51</v>
      </c>
      <c r="B52" s="98" t="s">
        <v>228</v>
      </c>
      <c r="C52" s="73" t="s">
        <v>390</v>
      </c>
      <c r="D52" s="104">
        <v>1524</v>
      </c>
      <c r="E52" s="105">
        <v>823763</v>
      </c>
    </row>
    <row r="53" spans="1:5" x14ac:dyDescent="0.25">
      <c r="A53" s="103">
        <v>52</v>
      </c>
      <c r="B53" s="98" t="s">
        <v>229</v>
      </c>
      <c r="C53" s="73" t="s">
        <v>391</v>
      </c>
      <c r="D53" s="104">
        <v>1524</v>
      </c>
      <c r="E53" s="105">
        <v>610652</v>
      </c>
    </row>
    <row r="54" spans="1:5" ht="25.5" x14ac:dyDescent="0.25">
      <c r="A54" s="103">
        <v>53</v>
      </c>
      <c r="B54" s="98" t="s">
        <v>230</v>
      </c>
      <c r="C54" s="73" t="s">
        <v>392</v>
      </c>
      <c r="D54" s="104">
        <v>1524</v>
      </c>
      <c r="E54" s="105">
        <v>601333</v>
      </c>
    </row>
    <row r="55" spans="1:5" x14ac:dyDescent="0.25">
      <c r="A55" s="103">
        <v>54</v>
      </c>
      <c r="B55" s="98" t="s">
        <v>231</v>
      </c>
      <c r="C55" s="73" t="s">
        <v>393</v>
      </c>
      <c r="D55" s="104">
        <v>1524</v>
      </c>
      <c r="E55" s="105">
        <v>998321</v>
      </c>
    </row>
    <row r="56" spans="1:5" ht="25.5" x14ac:dyDescent="0.25">
      <c r="A56" s="103">
        <v>55</v>
      </c>
      <c r="B56" s="98" t="s">
        <v>232</v>
      </c>
      <c r="C56" s="73" t="s">
        <v>394</v>
      </c>
      <c r="D56" s="104">
        <v>1524</v>
      </c>
      <c r="E56" s="105">
        <v>395384</v>
      </c>
    </row>
    <row r="57" spans="1:5" ht="25.5" x14ac:dyDescent="0.25">
      <c r="A57" s="103">
        <v>56</v>
      </c>
      <c r="B57" s="98" t="s">
        <v>233</v>
      </c>
      <c r="C57" s="73" t="s">
        <v>395</v>
      </c>
      <c r="D57" s="104">
        <v>1524</v>
      </c>
      <c r="E57" s="105">
        <v>894581</v>
      </c>
    </row>
    <row r="58" spans="1:5" x14ac:dyDescent="0.25">
      <c r="A58" s="103">
        <v>57</v>
      </c>
      <c r="B58" s="98" t="s">
        <v>234</v>
      </c>
      <c r="C58" s="73" t="s">
        <v>396</v>
      </c>
      <c r="D58" s="104">
        <v>1524</v>
      </c>
      <c r="E58" s="105">
        <v>697478</v>
      </c>
    </row>
    <row r="59" spans="1:5" ht="25.5" x14ac:dyDescent="0.25">
      <c r="A59" s="103">
        <v>58</v>
      </c>
      <c r="B59" s="98" t="s">
        <v>235</v>
      </c>
      <c r="C59" s="73" t="s">
        <v>397</v>
      </c>
      <c r="D59" s="104">
        <v>1524</v>
      </c>
      <c r="E59" s="105">
        <v>534353</v>
      </c>
    </row>
    <row r="60" spans="1:5" x14ac:dyDescent="0.25">
      <c r="A60" s="103">
        <v>59</v>
      </c>
      <c r="B60" s="98" t="s">
        <v>236</v>
      </c>
      <c r="C60" s="73" t="s">
        <v>398</v>
      </c>
      <c r="D60" s="104">
        <v>1524</v>
      </c>
      <c r="E60" s="105">
        <v>463971</v>
      </c>
    </row>
    <row r="61" spans="1:5" x14ac:dyDescent="0.25">
      <c r="A61" s="103">
        <v>60</v>
      </c>
      <c r="B61" s="98" t="s">
        <v>237</v>
      </c>
      <c r="C61" s="73" t="s">
        <v>399</v>
      </c>
      <c r="D61" s="104">
        <v>1524</v>
      </c>
      <c r="E61" s="105">
        <v>313894</v>
      </c>
    </row>
    <row r="62" spans="1:5" ht="25.5" x14ac:dyDescent="0.25">
      <c r="A62" s="103">
        <v>61</v>
      </c>
      <c r="B62" s="98" t="s">
        <v>238</v>
      </c>
      <c r="C62" s="73" t="s">
        <v>400</v>
      </c>
      <c r="D62" s="104">
        <v>1524</v>
      </c>
      <c r="E62" s="105">
        <v>321384</v>
      </c>
    </row>
    <row r="63" spans="1:5" ht="25.5" x14ac:dyDescent="0.25">
      <c r="A63" s="103">
        <v>62</v>
      </c>
      <c r="B63" s="98" t="s">
        <v>239</v>
      </c>
      <c r="C63" s="73" t="s">
        <v>401</v>
      </c>
      <c r="D63" s="104">
        <v>1524</v>
      </c>
      <c r="E63" s="105">
        <v>432428</v>
      </c>
    </row>
    <row r="64" spans="1:5" ht="25.5" x14ac:dyDescent="0.25">
      <c r="A64" s="103">
        <v>63</v>
      </c>
      <c r="B64" s="98" t="s">
        <v>240</v>
      </c>
      <c r="C64" s="73" t="s">
        <v>402</v>
      </c>
      <c r="D64" s="104">
        <v>1524</v>
      </c>
      <c r="E64" s="105">
        <v>925388</v>
      </c>
    </row>
    <row r="65" spans="1:5" x14ac:dyDescent="0.25">
      <c r="A65" s="103">
        <v>64</v>
      </c>
      <c r="B65" s="98" t="s">
        <v>241</v>
      </c>
      <c r="C65" s="73" t="s">
        <v>403</v>
      </c>
      <c r="D65" s="104">
        <v>1524</v>
      </c>
      <c r="E65" s="105">
        <v>711701</v>
      </c>
    </row>
    <row r="66" spans="1:5" ht="25.5" x14ac:dyDescent="0.25">
      <c r="A66" s="103">
        <v>65</v>
      </c>
      <c r="B66" s="98" t="s">
        <v>242</v>
      </c>
      <c r="C66" s="73" t="s">
        <v>404</v>
      </c>
      <c r="D66" s="104">
        <v>1524</v>
      </c>
      <c r="E66" s="105">
        <v>387503</v>
      </c>
    </row>
    <row r="67" spans="1:5" x14ac:dyDescent="0.25">
      <c r="A67" s="103">
        <v>66</v>
      </c>
      <c r="B67" s="98" t="s">
        <v>243</v>
      </c>
      <c r="C67" s="73" t="s">
        <v>405</v>
      </c>
      <c r="D67" s="104">
        <v>1524</v>
      </c>
      <c r="E67" s="105">
        <v>285253</v>
      </c>
    </row>
    <row r="68" spans="1:5" x14ac:dyDescent="0.25">
      <c r="A68" s="103">
        <v>67</v>
      </c>
      <c r="B68" s="98" t="s">
        <v>244</v>
      </c>
      <c r="C68" s="73" t="s">
        <v>406</v>
      </c>
      <c r="D68" s="104">
        <v>1524</v>
      </c>
      <c r="E68" s="105">
        <v>500406</v>
      </c>
    </row>
    <row r="69" spans="1:5" x14ac:dyDescent="0.25">
      <c r="A69" s="103">
        <v>68</v>
      </c>
      <c r="B69" s="98" t="s">
        <v>245</v>
      </c>
      <c r="C69" s="73" t="s">
        <v>407</v>
      </c>
      <c r="D69" s="104">
        <v>1524</v>
      </c>
      <c r="E69" s="105">
        <v>607052</v>
      </c>
    </row>
    <row r="70" spans="1:5" ht="25.5" x14ac:dyDescent="0.25">
      <c r="A70" s="103">
        <v>69</v>
      </c>
      <c r="B70" s="98" t="s">
        <v>246</v>
      </c>
      <c r="C70" s="73" t="s">
        <v>408</v>
      </c>
      <c r="D70" s="104">
        <v>1524</v>
      </c>
      <c r="E70" s="105">
        <v>691645</v>
      </c>
    </row>
    <row r="71" spans="1:5" ht="25.5" x14ac:dyDescent="0.25">
      <c r="A71" s="103">
        <v>70</v>
      </c>
      <c r="B71" s="98" t="s">
        <v>247</v>
      </c>
      <c r="C71" s="73" t="s">
        <v>409</v>
      </c>
      <c r="D71" s="104">
        <v>1524</v>
      </c>
      <c r="E71" s="105">
        <v>645576</v>
      </c>
    </row>
    <row r="72" spans="1:5" ht="25.5" x14ac:dyDescent="0.25">
      <c r="A72" s="103">
        <v>71</v>
      </c>
      <c r="B72" s="98" t="s">
        <v>248</v>
      </c>
      <c r="C72" s="73" t="s">
        <v>410</v>
      </c>
      <c r="D72" s="104">
        <v>1524</v>
      </c>
      <c r="E72" s="105">
        <v>799843</v>
      </c>
    </row>
    <row r="73" spans="1:5" x14ac:dyDescent="0.25">
      <c r="A73" s="103">
        <v>72</v>
      </c>
      <c r="B73" s="98" t="s">
        <v>249</v>
      </c>
      <c r="C73" s="73" t="s">
        <v>411</v>
      </c>
      <c r="D73" s="104">
        <v>1524</v>
      </c>
      <c r="E73" s="105">
        <v>387105</v>
      </c>
    </row>
    <row r="74" spans="1:5" ht="25.5" x14ac:dyDescent="0.25">
      <c r="A74" s="103">
        <v>73</v>
      </c>
      <c r="B74" s="98" t="s">
        <v>250</v>
      </c>
      <c r="C74" s="73" t="s">
        <v>412</v>
      </c>
      <c r="D74" s="104">
        <v>1524</v>
      </c>
      <c r="E74" s="105">
        <v>736216</v>
      </c>
    </row>
    <row r="75" spans="1:5" x14ac:dyDescent="0.25">
      <c r="A75" s="103">
        <v>74</v>
      </c>
      <c r="B75" s="98" t="s">
        <v>251</v>
      </c>
      <c r="C75" s="73" t="s">
        <v>413</v>
      </c>
      <c r="D75" s="104">
        <v>1524</v>
      </c>
      <c r="E75" s="105">
        <v>619289</v>
      </c>
    </row>
    <row r="76" spans="1:5" x14ac:dyDescent="0.25">
      <c r="A76" s="103">
        <v>75</v>
      </c>
      <c r="B76" s="98" t="s">
        <v>252</v>
      </c>
      <c r="C76" s="73" t="s">
        <v>414</v>
      </c>
      <c r="D76" s="104">
        <v>1524</v>
      </c>
      <c r="E76" s="105">
        <v>235414</v>
      </c>
    </row>
    <row r="77" spans="1:5" x14ac:dyDescent="0.25">
      <c r="A77" s="103">
        <v>76</v>
      </c>
      <c r="B77" s="98" t="s">
        <v>253</v>
      </c>
      <c r="C77" s="73" t="s">
        <v>415</v>
      </c>
      <c r="D77" s="104">
        <v>1524</v>
      </c>
      <c r="E77" s="105">
        <v>307059</v>
      </c>
    </row>
    <row r="78" spans="1:5" x14ac:dyDescent="0.25">
      <c r="A78" s="103">
        <v>77</v>
      </c>
      <c r="B78" s="98" t="s">
        <v>254</v>
      </c>
      <c r="C78" s="73" t="s">
        <v>416</v>
      </c>
      <c r="D78" s="104">
        <v>1524</v>
      </c>
      <c r="E78" s="105">
        <v>714733</v>
      </c>
    </row>
    <row r="79" spans="1:5" ht="25.5" x14ac:dyDescent="0.25">
      <c r="A79" s="103">
        <v>78</v>
      </c>
      <c r="B79" s="98" t="s">
        <v>255</v>
      </c>
      <c r="C79" s="73" t="s">
        <v>417</v>
      </c>
      <c r="D79" s="104">
        <v>1524</v>
      </c>
      <c r="E79" s="105">
        <v>492102</v>
      </c>
    </row>
    <row r="80" spans="1:5" x14ac:dyDescent="0.25">
      <c r="A80" s="103">
        <v>79</v>
      </c>
      <c r="B80" s="98" t="s">
        <v>256</v>
      </c>
      <c r="C80" s="73" t="s">
        <v>418</v>
      </c>
      <c r="D80" s="104">
        <v>1524</v>
      </c>
      <c r="E80" s="105">
        <v>782423</v>
      </c>
    </row>
    <row r="81" spans="1:5" ht="25.5" x14ac:dyDescent="0.25">
      <c r="A81" s="103">
        <v>80</v>
      </c>
      <c r="B81" s="98" t="s">
        <v>257</v>
      </c>
      <c r="C81" s="73" t="s">
        <v>419</v>
      </c>
      <c r="D81" s="104">
        <v>1524</v>
      </c>
      <c r="E81" s="105">
        <v>116171</v>
      </c>
    </row>
    <row r="82" spans="1:5" x14ac:dyDescent="0.25">
      <c r="A82" s="103">
        <v>81</v>
      </c>
      <c r="B82" s="98" t="s">
        <v>258</v>
      </c>
      <c r="C82" s="73" t="s">
        <v>420</v>
      </c>
      <c r="D82" s="104">
        <v>1524</v>
      </c>
      <c r="E82" s="105">
        <v>501721</v>
      </c>
    </row>
    <row r="83" spans="1:5" x14ac:dyDescent="0.25">
      <c r="A83" s="103">
        <v>82</v>
      </c>
      <c r="B83" s="98" t="s">
        <v>259</v>
      </c>
      <c r="C83" s="73" t="s">
        <v>421</v>
      </c>
      <c r="D83" s="104">
        <v>1524</v>
      </c>
      <c r="E83" s="105">
        <v>972000</v>
      </c>
    </row>
    <row r="84" spans="1:5" x14ac:dyDescent="0.25">
      <c r="A84" s="103">
        <v>83</v>
      </c>
      <c r="B84" s="98" t="s">
        <v>260</v>
      </c>
      <c r="C84" s="73" t="s">
        <v>422</v>
      </c>
      <c r="D84" s="104">
        <v>1524</v>
      </c>
      <c r="E84" s="105">
        <v>970962</v>
      </c>
    </row>
    <row r="85" spans="1:5" ht="25.5" x14ac:dyDescent="0.25">
      <c r="A85" s="103">
        <v>84</v>
      </c>
      <c r="B85" s="98" t="s">
        <v>261</v>
      </c>
      <c r="C85" s="73" t="s">
        <v>423</v>
      </c>
      <c r="D85" s="104">
        <v>1524</v>
      </c>
      <c r="E85" s="105">
        <v>616268</v>
      </c>
    </row>
    <row r="86" spans="1:5" ht="25.5" x14ac:dyDescent="0.25">
      <c r="A86" s="103">
        <v>85</v>
      </c>
      <c r="B86" s="98" t="s">
        <v>262</v>
      </c>
      <c r="C86" s="73" t="s">
        <v>424</v>
      </c>
      <c r="D86" s="104">
        <v>1524</v>
      </c>
      <c r="E86" s="105">
        <v>163173</v>
      </c>
    </row>
    <row r="87" spans="1:5" x14ac:dyDescent="0.25">
      <c r="A87" s="103">
        <v>86</v>
      </c>
      <c r="B87" s="98" t="s">
        <v>263</v>
      </c>
      <c r="C87" s="73" t="s">
        <v>425</v>
      </c>
      <c r="D87" s="104">
        <v>1524</v>
      </c>
      <c r="E87" s="105">
        <v>250326</v>
      </c>
    </row>
    <row r="88" spans="1:5" ht="25.5" x14ac:dyDescent="0.25">
      <c r="A88" s="103">
        <v>87</v>
      </c>
      <c r="B88" s="98" t="s">
        <v>264</v>
      </c>
      <c r="C88" s="73" t="s">
        <v>426</v>
      </c>
      <c r="D88" s="104">
        <v>1524</v>
      </c>
      <c r="E88" s="105">
        <v>732430</v>
      </c>
    </row>
    <row r="89" spans="1:5" x14ac:dyDescent="0.25">
      <c r="A89" s="103">
        <v>88</v>
      </c>
      <c r="B89" s="98" t="s">
        <v>265</v>
      </c>
      <c r="C89" s="73" t="s">
        <v>154</v>
      </c>
      <c r="D89" s="104">
        <v>1524</v>
      </c>
      <c r="E89" s="105">
        <v>241581</v>
      </c>
    </row>
    <row r="90" spans="1:5" x14ac:dyDescent="0.25">
      <c r="A90" s="103">
        <v>89</v>
      </c>
      <c r="B90" s="98" t="s">
        <v>266</v>
      </c>
      <c r="C90" s="73" t="s">
        <v>427</v>
      </c>
      <c r="D90" s="104">
        <v>1524</v>
      </c>
      <c r="E90" s="105">
        <v>313682</v>
      </c>
    </row>
    <row r="91" spans="1:5" x14ac:dyDescent="0.25">
      <c r="A91" s="103">
        <v>90</v>
      </c>
      <c r="B91" s="98" t="s">
        <v>267</v>
      </c>
      <c r="C91" s="73" t="s">
        <v>428</v>
      </c>
      <c r="D91" s="104">
        <v>1524</v>
      </c>
      <c r="E91" s="105">
        <v>911467</v>
      </c>
    </row>
    <row r="92" spans="1:5" x14ac:dyDescent="0.25">
      <c r="A92" s="103">
        <v>91</v>
      </c>
      <c r="B92" s="98" t="s">
        <v>268</v>
      </c>
      <c r="C92" s="73" t="s">
        <v>429</v>
      </c>
      <c r="D92" s="104">
        <v>1524</v>
      </c>
      <c r="E92" s="105">
        <v>768320</v>
      </c>
    </row>
    <row r="93" spans="1:5" ht="25.5" x14ac:dyDescent="0.25">
      <c r="A93" s="103">
        <v>92</v>
      </c>
      <c r="B93" s="98" t="s">
        <v>269</v>
      </c>
      <c r="C93" s="73" t="s">
        <v>430</v>
      </c>
      <c r="D93" s="104">
        <v>1524</v>
      </c>
      <c r="E93" s="105">
        <v>220382</v>
      </c>
    </row>
    <row r="94" spans="1:5" ht="25.5" x14ac:dyDescent="0.25">
      <c r="A94" s="103">
        <v>93</v>
      </c>
      <c r="B94" s="98" t="s">
        <v>270</v>
      </c>
      <c r="C94" s="73" t="s">
        <v>431</v>
      </c>
      <c r="D94" s="104">
        <v>1524</v>
      </c>
      <c r="E94" s="105">
        <v>463541</v>
      </c>
    </row>
    <row r="95" spans="1:5" ht="25.5" x14ac:dyDescent="0.25">
      <c r="A95" s="103">
        <v>94</v>
      </c>
      <c r="B95" s="98" t="s">
        <v>271</v>
      </c>
      <c r="C95" s="73" t="s">
        <v>432</v>
      </c>
      <c r="D95" s="104">
        <v>1524</v>
      </c>
      <c r="E95" s="105">
        <v>447696</v>
      </c>
    </row>
    <row r="96" spans="1:5" ht="25.5" x14ac:dyDescent="0.25">
      <c r="A96" s="103">
        <v>95</v>
      </c>
      <c r="B96" s="98" t="s">
        <v>272</v>
      </c>
      <c r="C96" s="73" t="s">
        <v>433</v>
      </c>
      <c r="D96" s="104">
        <v>1524</v>
      </c>
      <c r="E96" s="105">
        <v>243400</v>
      </c>
    </row>
    <row r="97" spans="1:5" ht="25.5" x14ac:dyDescent="0.25">
      <c r="A97" s="103">
        <v>96</v>
      </c>
      <c r="B97" s="98" t="s">
        <v>273</v>
      </c>
      <c r="C97" s="73" t="s">
        <v>434</v>
      </c>
      <c r="D97" s="104">
        <v>1524</v>
      </c>
      <c r="E97" s="105">
        <v>707878</v>
      </c>
    </row>
    <row r="98" spans="1:5" x14ac:dyDescent="0.25">
      <c r="A98" s="103">
        <v>97</v>
      </c>
      <c r="B98" s="98" t="s">
        <v>274</v>
      </c>
      <c r="C98" s="73" t="s">
        <v>435</v>
      </c>
      <c r="D98" s="104">
        <v>1524</v>
      </c>
      <c r="E98" s="105">
        <v>278605</v>
      </c>
    </row>
    <row r="99" spans="1:5" x14ac:dyDescent="0.25">
      <c r="A99" s="103">
        <v>98</v>
      </c>
      <c r="B99" s="98" t="s">
        <v>275</v>
      </c>
      <c r="C99" s="73" t="s">
        <v>436</v>
      </c>
      <c r="D99" s="104">
        <v>1524</v>
      </c>
      <c r="E99" s="105">
        <v>805698</v>
      </c>
    </row>
    <row r="100" spans="1:5" ht="25.5" x14ac:dyDescent="0.25">
      <c r="A100" s="103">
        <v>99</v>
      </c>
      <c r="B100" s="98" t="s">
        <v>276</v>
      </c>
      <c r="C100" s="73" t="s">
        <v>437</v>
      </c>
      <c r="D100" s="104">
        <v>1524</v>
      </c>
      <c r="E100" s="105">
        <v>104718</v>
      </c>
    </row>
    <row r="101" spans="1:5" ht="25.5" x14ac:dyDescent="0.25">
      <c r="A101" s="103">
        <v>100</v>
      </c>
      <c r="B101" s="98" t="s">
        <v>277</v>
      </c>
      <c r="C101" s="73" t="s">
        <v>438</v>
      </c>
      <c r="D101" s="104">
        <v>1524</v>
      </c>
      <c r="E101" s="105">
        <v>146879</v>
      </c>
    </row>
    <row r="102" spans="1:5" ht="25.5" x14ac:dyDescent="0.25">
      <c r="A102" s="103">
        <v>101</v>
      </c>
      <c r="B102" s="98" t="s">
        <v>278</v>
      </c>
      <c r="C102" s="73" t="s">
        <v>439</v>
      </c>
      <c r="D102" s="104">
        <v>1524</v>
      </c>
      <c r="E102" s="105">
        <v>461509</v>
      </c>
    </row>
    <row r="103" spans="1:5" x14ac:dyDescent="0.25">
      <c r="A103" s="103">
        <v>102</v>
      </c>
      <c r="B103" s="98" t="s">
        <v>279</v>
      </c>
      <c r="C103" s="73" t="s">
        <v>440</v>
      </c>
      <c r="D103" s="104">
        <v>1524</v>
      </c>
      <c r="E103" s="105">
        <v>422350</v>
      </c>
    </row>
    <row r="104" spans="1:5" x14ac:dyDescent="0.25">
      <c r="A104" s="103">
        <v>103</v>
      </c>
      <c r="B104" s="98" t="s">
        <v>280</v>
      </c>
      <c r="C104" s="73" t="s">
        <v>441</v>
      </c>
      <c r="D104" s="104">
        <v>1524</v>
      </c>
      <c r="E104" s="105">
        <v>409024</v>
      </c>
    </row>
    <row r="105" spans="1:5" x14ac:dyDescent="0.25">
      <c r="A105" s="103">
        <v>104</v>
      </c>
      <c r="B105" s="98" t="s">
        <v>281</v>
      </c>
      <c r="C105" s="73" t="s">
        <v>442</v>
      </c>
      <c r="D105" s="104">
        <v>1524</v>
      </c>
      <c r="E105" s="105">
        <v>991815</v>
      </c>
    </row>
    <row r="106" spans="1:5" x14ac:dyDescent="0.25">
      <c r="A106" s="103">
        <v>105</v>
      </c>
      <c r="B106" s="98" t="s">
        <v>282</v>
      </c>
      <c r="C106" s="73" t="s">
        <v>443</v>
      </c>
      <c r="D106" s="104">
        <v>1524</v>
      </c>
      <c r="E106" s="105">
        <v>529591</v>
      </c>
    </row>
    <row r="107" spans="1:5" x14ac:dyDescent="0.25">
      <c r="A107" s="103">
        <v>106</v>
      </c>
      <c r="B107" s="98" t="s">
        <v>283</v>
      </c>
      <c r="C107" s="73" t="s">
        <v>444</v>
      </c>
      <c r="D107" s="104">
        <v>1524</v>
      </c>
      <c r="E107" s="105">
        <v>797700</v>
      </c>
    </row>
    <row r="108" spans="1:5" x14ac:dyDescent="0.25">
      <c r="A108" s="103">
        <v>107</v>
      </c>
      <c r="B108" s="98" t="s">
        <v>284</v>
      </c>
      <c r="C108" s="73" t="s">
        <v>445</v>
      </c>
      <c r="D108" s="104">
        <v>1524</v>
      </c>
      <c r="E108" s="105">
        <v>600088</v>
      </c>
    </row>
    <row r="109" spans="1:5" ht="25.5" x14ac:dyDescent="0.25">
      <c r="A109" s="103">
        <v>108</v>
      </c>
      <c r="B109" s="98" t="s">
        <v>285</v>
      </c>
      <c r="C109" s="73" t="s">
        <v>446</v>
      </c>
      <c r="D109" s="104">
        <v>1524</v>
      </c>
      <c r="E109" s="105">
        <v>333168</v>
      </c>
    </row>
    <row r="110" spans="1:5" ht="25.5" x14ac:dyDescent="0.25">
      <c r="A110" s="103">
        <v>109</v>
      </c>
      <c r="B110" s="98" t="s">
        <v>286</v>
      </c>
      <c r="C110" s="73" t="s">
        <v>447</v>
      </c>
      <c r="D110" s="104">
        <v>1524</v>
      </c>
      <c r="E110" s="105">
        <v>998596</v>
      </c>
    </row>
    <row r="111" spans="1:5" x14ac:dyDescent="0.25">
      <c r="A111" s="103">
        <v>110</v>
      </c>
      <c r="B111" s="98" t="s">
        <v>287</v>
      </c>
      <c r="C111" s="73" t="s">
        <v>448</v>
      </c>
      <c r="D111" s="104">
        <v>1524</v>
      </c>
      <c r="E111" s="105">
        <v>442993</v>
      </c>
    </row>
    <row r="112" spans="1:5" x14ac:dyDescent="0.25">
      <c r="A112" s="103">
        <v>111</v>
      </c>
      <c r="B112" s="98" t="s">
        <v>288</v>
      </c>
      <c r="C112" s="73" t="s">
        <v>449</v>
      </c>
      <c r="D112" s="104">
        <v>1524</v>
      </c>
      <c r="E112" s="105">
        <v>264352</v>
      </c>
    </row>
    <row r="113" spans="1:5" ht="25.5" x14ac:dyDescent="0.25">
      <c r="A113" s="103">
        <v>112</v>
      </c>
      <c r="B113" s="98" t="s">
        <v>289</v>
      </c>
      <c r="C113" s="73" t="s">
        <v>450</v>
      </c>
      <c r="D113" s="104">
        <v>1524</v>
      </c>
      <c r="E113" s="105">
        <v>450878</v>
      </c>
    </row>
    <row r="114" spans="1:5" x14ac:dyDescent="0.25">
      <c r="A114" s="103">
        <v>113</v>
      </c>
      <c r="B114" s="98" t="s">
        <v>290</v>
      </c>
      <c r="C114" s="73" t="s">
        <v>451</v>
      </c>
      <c r="D114" s="104">
        <v>1524</v>
      </c>
      <c r="E114" s="105">
        <v>810251</v>
      </c>
    </row>
    <row r="115" spans="1:5" ht="25.5" x14ac:dyDescent="0.25">
      <c r="A115" s="103">
        <v>114</v>
      </c>
      <c r="B115" s="98" t="s">
        <v>291</v>
      </c>
      <c r="C115" s="73" t="s">
        <v>452</v>
      </c>
      <c r="D115" s="104">
        <v>1524</v>
      </c>
      <c r="E115" s="105">
        <v>608502</v>
      </c>
    </row>
    <row r="116" spans="1:5" ht="25.5" x14ac:dyDescent="0.25">
      <c r="A116" s="103">
        <v>115</v>
      </c>
      <c r="B116" s="98" t="s">
        <v>292</v>
      </c>
      <c r="C116" s="73" t="s">
        <v>453</v>
      </c>
      <c r="D116" s="104">
        <v>1524</v>
      </c>
      <c r="E116" s="105">
        <v>751216</v>
      </c>
    </row>
    <row r="117" spans="1:5" ht="25.5" x14ac:dyDescent="0.25">
      <c r="A117" s="103">
        <v>116</v>
      </c>
      <c r="B117" s="98" t="s">
        <v>293</v>
      </c>
      <c r="C117" s="73" t="s">
        <v>454</v>
      </c>
      <c r="D117" s="104">
        <v>1524</v>
      </c>
      <c r="E117" s="105">
        <v>857923</v>
      </c>
    </row>
    <row r="118" spans="1:5" ht="25.5" x14ac:dyDescent="0.25">
      <c r="A118" s="103">
        <v>117</v>
      </c>
      <c r="B118" s="98" t="s">
        <v>294</v>
      </c>
      <c r="C118" s="73" t="s">
        <v>455</v>
      </c>
      <c r="D118" s="104">
        <v>1524</v>
      </c>
      <c r="E118" s="105">
        <v>169610</v>
      </c>
    </row>
    <row r="119" spans="1:5" ht="25.5" x14ac:dyDescent="0.25">
      <c r="A119" s="103">
        <v>118</v>
      </c>
      <c r="B119" s="98" t="s">
        <v>295</v>
      </c>
      <c r="C119" s="73" t="s">
        <v>456</v>
      </c>
      <c r="D119" s="104">
        <v>1524</v>
      </c>
      <c r="E119" s="105">
        <v>747392</v>
      </c>
    </row>
    <row r="120" spans="1:5" ht="25.5" x14ac:dyDescent="0.25">
      <c r="A120" s="103">
        <v>119</v>
      </c>
      <c r="B120" s="98" t="s">
        <v>296</v>
      </c>
      <c r="C120" s="73" t="s">
        <v>457</v>
      </c>
      <c r="D120" s="104">
        <v>1524</v>
      </c>
      <c r="E120" s="105">
        <v>429561</v>
      </c>
    </row>
    <row r="121" spans="1:5" x14ac:dyDescent="0.25">
      <c r="A121" s="103">
        <v>120</v>
      </c>
      <c r="B121" s="98" t="s">
        <v>297</v>
      </c>
      <c r="C121" s="73" t="s">
        <v>458</v>
      </c>
      <c r="D121" s="104">
        <v>1524</v>
      </c>
      <c r="E121" s="105">
        <v>583355</v>
      </c>
    </row>
    <row r="122" spans="1:5" x14ac:dyDescent="0.25">
      <c r="A122" s="103">
        <v>121</v>
      </c>
      <c r="B122" s="98" t="s">
        <v>298</v>
      </c>
      <c r="C122" s="73" t="s">
        <v>459</v>
      </c>
      <c r="D122" s="104">
        <v>1524</v>
      </c>
      <c r="E122" s="105">
        <v>811191</v>
      </c>
    </row>
    <row r="123" spans="1:5" x14ac:dyDescent="0.25">
      <c r="A123" s="103">
        <v>122</v>
      </c>
      <c r="B123" s="98" t="s">
        <v>299</v>
      </c>
      <c r="C123" s="73" t="s">
        <v>460</v>
      </c>
      <c r="D123" s="104">
        <v>1524</v>
      </c>
      <c r="E123" s="105">
        <v>229203</v>
      </c>
    </row>
    <row r="124" spans="1:5" ht="25.5" x14ac:dyDescent="0.25">
      <c r="A124" s="103">
        <v>123</v>
      </c>
      <c r="B124" s="98" t="s">
        <v>300</v>
      </c>
      <c r="C124" s="73" t="s">
        <v>461</v>
      </c>
      <c r="D124" s="104">
        <v>1524</v>
      </c>
      <c r="E124" s="105">
        <v>441663</v>
      </c>
    </row>
    <row r="125" spans="1:5" x14ac:dyDescent="0.25">
      <c r="A125" s="103">
        <v>124</v>
      </c>
      <c r="B125" s="98" t="s">
        <v>301</v>
      </c>
      <c r="C125" s="73" t="s">
        <v>155</v>
      </c>
      <c r="D125" s="104">
        <v>1524</v>
      </c>
      <c r="E125" s="105">
        <v>645626</v>
      </c>
    </row>
    <row r="126" spans="1:5" ht="25.5" x14ac:dyDescent="0.25">
      <c r="A126" s="103">
        <v>125</v>
      </c>
      <c r="B126" s="98" t="s">
        <v>302</v>
      </c>
      <c r="C126" s="73" t="s">
        <v>462</v>
      </c>
      <c r="D126" s="104">
        <v>1524</v>
      </c>
      <c r="E126" s="105">
        <v>856954</v>
      </c>
    </row>
    <row r="127" spans="1:5" ht="25.5" x14ac:dyDescent="0.25">
      <c r="A127" s="103">
        <v>126</v>
      </c>
      <c r="B127" s="98" t="s">
        <v>303</v>
      </c>
      <c r="C127" s="73" t="s">
        <v>463</v>
      </c>
      <c r="D127" s="104">
        <v>1524</v>
      </c>
      <c r="E127" s="105">
        <v>281577</v>
      </c>
    </row>
    <row r="128" spans="1:5" x14ac:dyDescent="0.25">
      <c r="A128" s="103">
        <v>127</v>
      </c>
      <c r="B128" s="98" t="s">
        <v>304</v>
      </c>
      <c r="C128" s="73" t="s">
        <v>464</v>
      </c>
      <c r="D128" s="104">
        <v>1524</v>
      </c>
      <c r="E128" s="105">
        <v>856687</v>
      </c>
    </row>
    <row r="129" spans="1:5" ht="25.5" x14ac:dyDescent="0.25">
      <c r="A129" s="103">
        <v>128</v>
      </c>
      <c r="B129" s="98" t="s">
        <v>305</v>
      </c>
      <c r="C129" s="73" t="s">
        <v>465</v>
      </c>
      <c r="D129" s="104">
        <v>1524</v>
      </c>
      <c r="E129" s="105">
        <v>189614</v>
      </c>
    </row>
    <row r="130" spans="1:5" x14ac:dyDescent="0.25">
      <c r="A130" s="103">
        <v>129</v>
      </c>
      <c r="B130" s="98" t="s">
        <v>306</v>
      </c>
      <c r="C130" s="73" t="s">
        <v>466</v>
      </c>
      <c r="D130" s="104">
        <v>1524</v>
      </c>
      <c r="E130" s="105">
        <v>351252</v>
      </c>
    </row>
    <row r="131" spans="1:5" ht="25.5" x14ac:dyDescent="0.25">
      <c r="A131" s="103">
        <v>130</v>
      </c>
      <c r="B131" s="98" t="s">
        <v>307</v>
      </c>
      <c r="C131" s="73" t="s">
        <v>467</v>
      </c>
      <c r="D131" s="104">
        <v>1524</v>
      </c>
      <c r="E131" s="105">
        <v>568535</v>
      </c>
    </row>
    <row r="132" spans="1:5" ht="25.5" x14ac:dyDescent="0.25">
      <c r="A132" s="103">
        <v>131</v>
      </c>
      <c r="B132" s="98" t="s">
        <v>308</v>
      </c>
      <c r="C132" s="73" t="s">
        <v>468</v>
      </c>
      <c r="D132" s="104">
        <v>1524</v>
      </c>
      <c r="E132" s="105">
        <v>552181</v>
      </c>
    </row>
    <row r="133" spans="1:5" x14ac:dyDescent="0.25">
      <c r="A133" s="103">
        <v>132</v>
      </c>
      <c r="B133" s="98" t="s">
        <v>309</v>
      </c>
      <c r="C133" s="73" t="s">
        <v>469</v>
      </c>
      <c r="D133" s="104">
        <v>1524</v>
      </c>
      <c r="E133" s="105">
        <v>957707</v>
      </c>
    </row>
    <row r="134" spans="1:5" ht="25.5" x14ac:dyDescent="0.25">
      <c r="A134" s="103">
        <v>133</v>
      </c>
      <c r="B134" s="98" t="s">
        <v>310</v>
      </c>
      <c r="C134" s="73" t="s">
        <v>470</v>
      </c>
      <c r="D134" s="104">
        <v>1524</v>
      </c>
      <c r="E134" s="105">
        <v>350705</v>
      </c>
    </row>
    <row r="135" spans="1:5" ht="25.5" x14ac:dyDescent="0.25">
      <c r="A135" s="103">
        <v>134</v>
      </c>
      <c r="B135" s="98" t="s">
        <v>311</v>
      </c>
      <c r="C135" s="73" t="s">
        <v>471</v>
      </c>
      <c r="D135" s="104">
        <v>1524</v>
      </c>
      <c r="E135" s="105">
        <v>841524</v>
      </c>
    </row>
    <row r="136" spans="1:5" ht="25.5" x14ac:dyDescent="0.25">
      <c r="A136" s="103">
        <v>135</v>
      </c>
      <c r="B136" s="98" t="s">
        <v>312</v>
      </c>
      <c r="C136" s="73" t="s">
        <v>472</v>
      </c>
      <c r="D136" s="104">
        <v>1524</v>
      </c>
      <c r="E136" s="105">
        <v>113426</v>
      </c>
    </row>
    <row r="137" spans="1:5" x14ac:dyDescent="0.25">
      <c r="A137" s="103">
        <v>136</v>
      </c>
      <c r="B137" s="98" t="s">
        <v>313</v>
      </c>
      <c r="C137" s="73" t="s">
        <v>473</v>
      </c>
      <c r="D137" s="104">
        <v>1524</v>
      </c>
      <c r="E137" s="105">
        <v>898706</v>
      </c>
    </row>
    <row r="138" spans="1:5" x14ac:dyDescent="0.25">
      <c r="A138" s="103">
        <v>137</v>
      </c>
      <c r="B138" s="98" t="s">
        <v>314</v>
      </c>
      <c r="C138" s="73" t="s">
        <v>474</v>
      </c>
      <c r="D138" s="104">
        <v>1524</v>
      </c>
      <c r="E138" s="105">
        <v>302726</v>
      </c>
    </row>
    <row r="139" spans="1:5" x14ac:dyDescent="0.25">
      <c r="A139" s="103">
        <v>138</v>
      </c>
      <c r="B139" s="98" t="s">
        <v>315</v>
      </c>
      <c r="C139" s="73" t="s">
        <v>475</v>
      </c>
      <c r="D139" s="104">
        <v>1524</v>
      </c>
      <c r="E139" s="105">
        <v>179912</v>
      </c>
    </row>
    <row r="140" spans="1:5" x14ac:dyDescent="0.25">
      <c r="A140" s="103">
        <v>139</v>
      </c>
      <c r="B140" s="98" t="s">
        <v>316</v>
      </c>
      <c r="C140" s="73" t="s">
        <v>476</v>
      </c>
      <c r="D140" s="104">
        <v>1524</v>
      </c>
      <c r="E140" s="105">
        <v>446859</v>
      </c>
    </row>
    <row r="141" spans="1:5" ht="25.5" x14ac:dyDescent="0.25">
      <c r="A141" s="103">
        <v>140</v>
      </c>
      <c r="B141" s="98" t="s">
        <v>317</v>
      </c>
      <c r="C141" s="73" t="s">
        <v>477</v>
      </c>
      <c r="D141" s="104">
        <v>1524</v>
      </c>
      <c r="E141" s="105">
        <v>466717</v>
      </c>
    </row>
    <row r="142" spans="1:5" ht="25.5" x14ac:dyDescent="0.25">
      <c r="A142" s="103">
        <v>141</v>
      </c>
      <c r="B142" s="98" t="s">
        <v>318</v>
      </c>
      <c r="C142" s="73" t="s">
        <v>478</v>
      </c>
      <c r="D142" s="104">
        <v>1524</v>
      </c>
      <c r="E142" s="105">
        <v>954940</v>
      </c>
    </row>
    <row r="143" spans="1:5" ht="25.5" x14ac:dyDescent="0.25">
      <c r="A143" s="103">
        <v>142</v>
      </c>
      <c r="B143" s="98" t="s">
        <v>319</v>
      </c>
      <c r="C143" s="73" t="s">
        <v>479</v>
      </c>
      <c r="D143" s="104">
        <v>1524</v>
      </c>
      <c r="E143" s="105">
        <v>770238</v>
      </c>
    </row>
    <row r="144" spans="1:5" ht="25.5" x14ac:dyDescent="0.25">
      <c r="A144" s="103">
        <v>143</v>
      </c>
      <c r="B144" s="98" t="s">
        <v>320</v>
      </c>
      <c r="C144" s="73" t="s">
        <v>480</v>
      </c>
      <c r="D144" s="104">
        <v>1524</v>
      </c>
      <c r="E144" s="105">
        <v>938334</v>
      </c>
    </row>
    <row r="145" spans="1:5" x14ac:dyDescent="0.25">
      <c r="A145" s="103">
        <v>144</v>
      </c>
      <c r="B145" s="98" t="s">
        <v>321</v>
      </c>
      <c r="C145" s="73" t="s">
        <v>481</v>
      </c>
      <c r="D145" s="104">
        <v>1524</v>
      </c>
      <c r="E145" s="105">
        <v>822759</v>
      </c>
    </row>
    <row r="146" spans="1:5" x14ac:dyDescent="0.25">
      <c r="A146" s="103">
        <v>145</v>
      </c>
      <c r="B146" s="98" t="s">
        <v>322</v>
      </c>
      <c r="C146" s="73" t="s">
        <v>482</v>
      </c>
      <c r="D146" s="104">
        <v>1524</v>
      </c>
      <c r="E146" s="105">
        <v>238884</v>
      </c>
    </row>
    <row r="147" spans="1:5" ht="25.5" x14ac:dyDescent="0.25">
      <c r="A147" s="103">
        <v>146</v>
      </c>
      <c r="B147" s="98" t="s">
        <v>323</v>
      </c>
      <c r="C147" s="73" t="s">
        <v>483</v>
      </c>
      <c r="D147" s="104">
        <v>1524</v>
      </c>
      <c r="E147" s="105">
        <v>880287</v>
      </c>
    </row>
    <row r="148" spans="1:5" ht="25.5" x14ac:dyDescent="0.25">
      <c r="A148" s="103">
        <v>147</v>
      </c>
      <c r="B148" s="98" t="s">
        <v>324</v>
      </c>
      <c r="C148" s="73" t="s">
        <v>484</v>
      </c>
      <c r="D148" s="104">
        <v>1524</v>
      </c>
      <c r="E148" s="105">
        <v>118795</v>
      </c>
    </row>
    <row r="149" spans="1:5" ht="25.5" x14ac:dyDescent="0.25">
      <c r="A149" s="103">
        <v>148</v>
      </c>
      <c r="B149" s="98" t="s">
        <v>325</v>
      </c>
      <c r="C149" s="73" t="s">
        <v>485</v>
      </c>
      <c r="D149" s="104">
        <v>1524</v>
      </c>
      <c r="E149" s="105">
        <v>836794</v>
      </c>
    </row>
    <row r="150" spans="1:5" ht="25.5" x14ac:dyDescent="0.25">
      <c r="A150" s="103">
        <v>149</v>
      </c>
      <c r="B150" s="98" t="s">
        <v>326</v>
      </c>
      <c r="C150" s="73" t="s">
        <v>486</v>
      </c>
      <c r="D150" s="104">
        <v>1524</v>
      </c>
      <c r="E150" s="105">
        <v>113757</v>
      </c>
    </row>
    <row r="151" spans="1:5" x14ac:dyDescent="0.25">
      <c r="A151" s="103">
        <v>150</v>
      </c>
      <c r="B151" s="98" t="s">
        <v>327</v>
      </c>
      <c r="C151" s="73" t="s">
        <v>487</v>
      </c>
      <c r="D151" s="104">
        <v>1524</v>
      </c>
      <c r="E151" s="105">
        <v>660203</v>
      </c>
    </row>
    <row r="152" spans="1:5" x14ac:dyDescent="0.25">
      <c r="A152" s="103">
        <v>151</v>
      </c>
      <c r="B152" s="98" t="s">
        <v>328</v>
      </c>
      <c r="C152" s="73" t="s">
        <v>488</v>
      </c>
      <c r="D152" s="104">
        <v>1524</v>
      </c>
      <c r="E152" s="105">
        <v>726700</v>
      </c>
    </row>
    <row r="153" spans="1:5" ht="25.5" x14ac:dyDescent="0.25">
      <c r="A153" s="103">
        <v>152</v>
      </c>
      <c r="B153" s="98" t="s">
        <v>329</v>
      </c>
      <c r="C153" s="73" t="s">
        <v>489</v>
      </c>
      <c r="D153" s="104">
        <v>1524</v>
      </c>
      <c r="E153" s="105">
        <v>205218</v>
      </c>
    </row>
    <row r="154" spans="1:5" x14ac:dyDescent="0.25">
      <c r="A154" s="103">
        <v>153</v>
      </c>
      <c r="B154" s="98" t="s">
        <v>330</v>
      </c>
      <c r="C154" s="73" t="s">
        <v>490</v>
      </c>
      <c r="D154" s="104">
        <v>1524</v>
      </c>
      <c r="E154" s="105">
        <v>648338</v>
      </c>
    </row>
    <row r="155" spans="1:5" x14ac:dyDescent="0.25">
      <c r="A155" s="103">
        <v>154</v>
      </c>
      <c r="B155" s="98" t="s">
        <v>331</v>
      </c>
      <c r="C155" s="73" t="s">
        <v>491</v>
      </c>
      <c r="D155" s="104">
        <v>1524</v>
      </c>
      <c r="E155" s="105">
        <v>943128</v>
      </c>
    </row>
    <row r="156" spans="1:5" x14ac:dyDescent="0.25">
      <c r="A156" s="103">
        <v>155</v>
      </c>
      <c r="B156" s="98" t="s">
        <v>332</v>
      </c>
      <c r="C156" s="73" t="s">
        <v>492</v>
      </c>
      <c r="D156" s="104">
        <v>1524</v>
      </c>
      <c r="E156" s="105">
        <v>671829</v>
      </c>
    </row>
    <row r="157" spans="1:5" ht="25.5" x14ac:dyDescent="0.25">
      <c r="A157" s="103">
        <v>156</v>
      </c>
      <c r="B157" s="98" t="s">
        <v>333</v>
      </c>
      <c r="C157" s="73" t="s">
        <v>493</v>
      </c>
      <c r="D157" s="104">
        <v>1524</v>
      </c>
      <c r="E157" s="105">
        <v>601828</v>
      </c>
    </row>
    <row r="158" spans="1:5" x14ac:dyDescent="0.25">
      <c r="A158" s="103">
        <v>157</v>
      </c>
      <c r="B158" s="98" t="s">
        <v>334</v>
      </c>
      <c r="C158" s="73" t="s">
        <v>494</v>
      </c>
      <c r="D158" s="104">
        <v>1524</v>
      </c>
      <c r="E158" s="105">
        <v>770343</v>
      </c>
    </row>
    <row r="159" spans="1:5" x14ac:dyDescent="0.25">
      <c r="A159" s="103">
        <v>158</v>
      </c>
      <c r="B159" s="98" t="s">
        <v>335</v>
      </c>
      <c r="C159" s="73" t="s">
        <v>495</v>
      </c>
      <c r="D159" s="104">
        <v>1524</v>
      </c>
      <c r="E159" s="105">
        <v>995045</v>
      </c>
    </row>
    <row r="160" spans="1:5" x14ac:dyDescent="0.25">
      <c r="A160" s="103">
        <v>159</v>
      </c>
      <c r="B160" s="98" t="s">
        <v>336</v>
      </c>
      <c r="C160" s="73" t="s">
        <v>496</v>
      </c>
      <c r="D160" s="104">
        <v>1524</v>
      </c>
      <c r="E160" s="105">
        <v>557152</v>
      </c>
    </row>
    <row r="161" spans="1:5" ht="25.5" x14ac:dyDescent="0.25">
      <c r="A161" s="103">
        <v>160</v>
      </c>
      <c r="B161" s="98" t="s">
        <v>337</v>
      </c>
      <c r="C161" s="73" t="s">
        <v>497</v>
      </c>
      <c r="D161" s="104">
        <v>1524</v>
      </c>
      <c r="E161" s="105">
        <v>862001</v>
      </c>
    </row>
    <row r="162" spans="1:5" x14ac:dyDescent="0.25">
      <c r="A162" s="103">
        <v>161</v>
      </c>
      <c r="B162" s="98" t="s">
        <v>338</v>
      </c>
      <c r="C162" s="73" t="s">
        <v>498</v>
      </c>
      <c r="D162" s="104">
        <v>1524</v>
      </c>
      <c r="E162" s="105">
        <v>690551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12</vt:i4>
      </vt:variant>
    </vt:vector>
  </HeadingPairs>
  <TitlesOfParts>
    <vt:vector size="38" baseType="lpstr">
      <vt:lpstr>Summary</vt:lpstr>
      <vt:lpstr>Seating Plan</vt:lpstr>
      <vt:lpstr>Lab M005</vt:lpstr>
      <vt:lpstr>M104</vt:lpstr>
      <vt:lpstr>Lab 105</vt:lpstr>
      <vt:lpstr>M203</vt:lpstr>
      <vt:lpstr>M205</vt:lpstr>
      <vt:lpstr>M302</vt:lpstr>
      <vt:lpstr>HPC lab</vt:lpstr>
      <vt:lpstr>Code lab</vt:lpstr>
      <vt:lpstr>DS-1</vt:lpstr>
      <vt:lpstr>Project Lab</vt:lpstr>
      <vt:lpstr>CC Lab</vt:lpstr>
      <vt:lpstr>PL-4</vt:lpstr>
      <vt:lpstr>PL-3</vt:lpstr>
      <vt:lpstr>PL-5</vt:lpstr>
      <vt:lpstr>PL-1</vt:lpstr>
      <vt:lpstr>EE-2</vt:lpstr>
      <vt:lpstr>EE-1</vt:lpstr>
      <vt:lpstr>MAC lab</vt:lpstr>
      <vt:lpstr>Computing IT</vt:lpstr>
      <vt:lpstr>PL-2</vt:lpstr>
      <vt:lpstr>EC lab</vt:lpstr>
      <vt:lpstr>Architectue Lab</vt:lpstr>
      <vt:lpstr>Library</vt:lpstr>
      <vt:lpstr>Sheet3</vt:lpstr>
      <vt:lpstr>'CC Lab'!Print_Area</vt:lpstr>
      <vt:lpstr>'Code lab'!Print_Area</vt:lpstr>
      <vt:lpstr>'DS-1'!Print_Area</vt:lpstr>
      <vt:lpstr>'EC lab'!Print_Area</vt:lpstr>
      <vt:lpstr>'Lab 105'!Print_Area</vt:lpstr>
      <vt:lpstr>'M104'!Print_Area</vt:lpstr>
      <vt:lpstr>'PL-1'!Print_Area</vt:lpstr>
      <vt:lpstr>'PL-2'!Print_Area</vt:lpstr>
      <vt:lpstr>'PL-3'!Print_Area</vt:lpstr>
      <vt:lpstr>'DS-1'!Print_Titles</vt:lpstr>
      <vt:lpstr>'PL-5'!Print_Titles</vt:lpstr>
      <vt:lpstr>'Project Lab'!Print_Titles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SAUMIL MAHESHWARI</dc:creator>
  <cp:lastModifiedBy>Dheeraj Dixit</cp:lastModifiedBy>
  <cp:lastPrinted>2026-04-07T07:18:33Z</cp:lastPrinted>
  <dcterms:created xsi:type="dcterms:W3CDTF">2015-06-05T18:17:20Z</dcterms:created>
  <dcterms:modified xsi:type="dcterms:W3CDTF">2026-04-07T11:00:07Z</dcterms:modified>
</cp:coreProperties>
</file>